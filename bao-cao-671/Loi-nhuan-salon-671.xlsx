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hiết lập" sheetId="2" state="visible" r:id="rId4"/>
    <sheet name="Dữ liệu thá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Ô vàng chữ xanh = nhập tay. Các cột chữ đen là công thức.</t>
        </r>
      </text>
    </comment>
    <comment ref="Y1" authorId="0">
      <text>
        <r>
          <rPr>
            <sz val="10"/>
            <rFont val="Arial"/>
            <family val="2"/>
          </rPr>
          <t xml:space="preserve">Doanh thu chính tối thiểu để lãi = 0, giả định các chi phí khác giữ nguyên và vật tư tỷ lệ theo doanh thu.</t>
        </r>
      </text>
    </comment>
    <comment ref="AC1" authorId="0">
      <text>
        <r>
          <rPr>
            <sz val="10"/>
            <rFont val="Arial"/>
            <family val="2"/>
          </rPr>
          <t xml:space="preserve">Chỉ áp dụng khi cột Thuế để trống: trừ thêm DT chính × % thuế ước tính ở sheet Thiết lập.</t>
        </r>
      </text>
    </comment>
  </commentList>
</comments>
</file>

<file path=xl/sharedStrings.xml><?xml version="1.0" encoding="utf-8"?>
<sst xmlns="http://schemas.openxmlformats.org/spreadsheetml/2006/main" count="125" uniqueCount="106">
  <si>
    <t xml:space="preserve">TỔNG QUAN LỢI NHUẬN – SALON 671</t>
  </si>
  <si>
    <t xml:space="preserve">Tự cập nhật từ sheet "Dữ liệu tháng"</t>
  </si>
  <si>
    <t xml:space="preserve">Tháng</t>
  </si>
  <si>
    <t xml:space="preserve">Lãi</t>
  </si>
  <si>
    <t xml:space="preserve">Biên lãi</t>
  </si>
  <si>
    <t xml:space="preserve">% Nhân sự</t>
  </si>
  <si>
    <t xml:space="preserve">Số tháng có dữ liệu</t>
  </si>
  <si>
    <t xml:space="preserve">Tổng lãi</t>
  </si>
  <si>
    <t xml:space="preserve">Lãi TB tháng thường (bỏ Tết)</t>
  </si>
  <si>
    <t xml:space="preserve">DT chính TB tháng thường</t>
  </si>
  <si>
    <t xml:space="preserve">Biên lãi bình quân</t>
  </si>
  <si>
    <t xml:space="preserve">% Nhân sự / DT chính bình quân</t>
  </si>
  <si>
    <t xml:space="preserve">Tháng lãi cao nhất</t>
  </si>
  <si>
    <t xml:space="preserve">Tháng lãi thấp nhất</t>
  </si>
  <si>
    <t xml:space="preserve">Tổng chia Nhi</t>
  </si>
  <si>
    <t xml:space="preserve">Tổng chia A Sang – Hào</t>
  </si>
  <si>
    <t xml:space="preserve">Tổng Quỹ chung (cần đối chiếu, sheet gốc để trống)</t>
  </si>
  <si>
    <t xml:space="preserve">Tổng chênh lệch so với sheet gốc</t>
  </si>
  <si>
    <t xml:space="preserve">Việc cần kiểm tra trên sheet gốc</t>
  </si>
  <si>
    <t xml:space="preserve">1. Phiếu nước T9/2026 đang copy y nguyên T8 (cùng kỳ, cùng chỉ số, cùng tiền).</t>
  </si>
  <si>
    <t xml:space="preserve">2. Nước trong CHI T9 = 3.541.210 không khớp phiếu (3.950.937).</t>
  </si>
  <si>
    <t xml:space="preserve">3. Salon đang ghi cả hóa đơn nước; phần chủ nhà (T8/2026: 2,49 tr) có được hoàn/trừ tiền nhà không?</t>
  </si>
  <si>
    <t xml:space="preserve">4. T7/2026: MP ngoài 1.312.000 chưa cộng vào Thu khác.</t>
  </si>
  <si>
    <t xml:space="preserve">5. TOPUP: T7/2026 trừ 10% VAT, T8–T9 trừ 8%, trước đó không trừ → thống nhất 1 cách.</t>
  </si>
  <si>
    <t xml:space="preserve">6. Quỹ chung (30%) để trống từ T10/2025; dòng Thuế trống cả 15 tháng.</t>
  </si>
  <si>
    <t xml:space="preserve">7. Ô tổng lợi nhuận trên sheet gốc mới cộng T7/2025–T6/2026, thiếu T7–T9/2026.</t>
  </si>
  <si>
    <t xml:space="preserve">8. Vật tư T9/2026 = 10,2 tr, gấp đôi các tháng gần đây → xem có nhập dự trữ không.</t>
  </si>
  <si>
    <t xml:space="preserve">THIẾT LẬP – SALON 671</t>
  </si>
  <si>
    <t xml:space="preserve">Tỷ lệ chia: Nhi</t>
  </si>
  <si>
    <t xml:space="preserve">Theo sheet gốc</t>
  </si>
  <si>
    <t xml:space="preserve">Tỷ lệ chia: A Sang – Hào</t>
  </si>
  <si>
    <t xml:space="preserve">Tỷ lệ chia: Quỹ chung</t>
  </si>
  <si>
    <t xml:space="preserve">Tự tính = phần còn lại</t>
  </si>
  <si>
    <t xml:space="preserve">Ngưỡng cảnh báo biên lãi thấp</t>
  </si>
  <si>
    <t xml:space="preserve">Biên lãi dưới mức này tô đỏ</t>
  </si>
  <si>
    <t xml:space="preserve">Ngưỡng cảnh báo chi nhân sự / DT chính</t>
  </si>
  <si>
    <t xml:space="preserve">Trên mức này tô đỏ</t>
  </si>
  <si>
    <t xml:space="preserve">Ngưỡng cảnh báo điện nước / DT chính</t>
  </si>
  <si>
    <t xml:space="preserve">Trên mức này tô cam</t>
  </si>
  <si>
    <t xml:space="preserve">Thuế ước tính (% DT chính) – để xem kịch bản</t>
  </si>
  <si>
    <t xml:space="preserve">Ví dụ hộ KD dịch vụ: 5% GTGT + 2% TNCN. Chỉ dùng ở cột "Lãi nếu trừ thuế ước tính"</t>
  </si>
  <si>
    <t xml:space="preserve">Hướng dẫn</t>
  </si>
  <si>
    <t xml:space="preserve">• Ô nền vàng, chữ xanh = ô nhập tay. Ô chữ đen = công thức, không sửa.</t>
  </si>
  <si>
    <t xml:space="preserve">• Mỗi tháng nhập 1 dòng ở sheet "Dữ liệu tháng" (đã có sẵn dòng trống T10–T12/2026).</t>
  </si>
  <si>
    <t xml:space="preserve">• Cột "Lãi theo sheet gốc" để đối chiếu; cột "Chênh lệch" khác 0 nghĩa là sheet gốc cộng sai.</t>
  </si>
  <si>
    <t xml:space="preserve">• Số liệu T7/2025–T9/2026 lấy từ Google Sheet "TỔNG LỢI NHUẬN" (do chị cung cấp).</t>
  </si>
  <si>
    <t xml:space="preserve">Loại tháng</t>
  </si>
  <si>
    <t xml:space="preserve">DT chính (TM + CK)</t>
  </si>
  <si>
    <t xml:space="preserve">Hoàn TOPUP</t>
  </si>
  <si>
    <t xml:space="preserve">Thu khác (MP ngoài, LED…)</t>
  </si>
  <si>
    <t xml:space="preserve">TỔNG THU</t>
  </si>
  <si>
    <t xml:space="preserve">CP Nhân sự</t>
  </si>
  <si>
    <t xml:space="preserve">CP Mặt bằng</t>
  </si>
  <si>
    <t xml:space="preserve">Rác/Internet/POS/Đá</t>
  </si>
  <si>
    <t xml:space="preserve">Vật tư / Giá nhập SP</t>
  </si>
  <si>
    <t xml:space="preserve">Điện, nước</t>
  </si>
  <si>
    <t xml:space="preserve">Marketing / Ưu đãi</t>
  </si>
  <si>
    <t xml:space="preserve">Hỗ trợ đi lại NS</t>
  </si>
  <si>
    <t xml:space="preserve">Vận hành 30S</t>
  </si>
  <si>
    <t xml:space="preserve">Sửa chữa bảo trì</t>
  </si>
  <si>
    <t xml:space="preserve">Chi khác</t>
  </si>
  <si>
    <t xml:space="preserve">Thuế</t>
  </si>
  <si>
    <t xml:space="preserve">TỔNG CHI</t>
  </si>
  <si>
    <t xml:space="preserve">LÃI (EBITDA)</t>
  </si>
  <si>
    <t xml:space="preserve">% Nhân sự / DT chính</t>
  </si>
  <si>
    <t xml:space="preserve">% Mặt bằng / DT chính</t>
  </si>
  <si>
    <t xml:space="preserve">% Điện nước / DT chính</t>
  </si>
  <si>
    <t xml:space="preserve">% Vật tư / DT chính</t>
  </si>
  <si>
    <t xml:space="preserve">DT chính hòa vốn</t>
  </si>
  <si>
    <t xml:space="preserve">Nhi</t>
  </si>
  <si>
    <t xml:space="preserve">A Sang – Hào</t>
  </si>
  <si>
    <t xml:space="preserve">Quỹ chung</t>
  </si>
  <si>
    <t xml:space="preserve">Lãi nếu trừ thuế ước tính</t>
  </si>
  <si>
    <t xml:space="preserve">Lãi theo sheet gốc</t>
  </si>
  <si>
    <t xml:space="preserve">Chênh lệch</t>
  </si>
  <si>
    <t xml:space="preserve">Ghi chú / cần kiểm tra</t>
  </si>
  <si>
    <t xml:space="preserve">T7/2025</t>
  </si>
  <si>
    <t xml:space="preserve">Thường</t>
  </si>
  <si>
    <t xml:space="preserve">Tháng đầu (5–31/7)</t>
  </si>
  <si>
    <t xml:space="preserve">T8/2025</t>
  </si>
  <si>
    <t xml:space="preserve">T9/2025</t>
  </si>
  <si>
    <t xml:space="preserve">T10/2025</t>
  </si>
  <si>
    <t xml:space="preserve">T11/2025</t>
  </si>
  <si>
    <t xml:space="preserve">T12/2025</t>
  </si>
  <si>
    <t xml:space="preserve">Chi khác = tất niên 3 tr</t>
  </si>
  <si>
    <t xml:space="preserve">T1/2026</t>
  </si>
  <si>
    <t xml:space="preserve">NS gồm thưởng thâm niên 6 tr</t>
  </si>
  <si>
    <t xml:space="preserve">T2/2026</t>
  </si>
  <si>
    <t xml:space="preserve">Tết</t>
  </si>
  <si>
    <t xml:space="preserve">Tháng Tết; thu khác gồm màn hình LED 8 tr (T7–T2)</t>
  </si>
  <si>
    <t xml:space="preserve">T3/2026</t>
  </si>
  <si>
    <t xml:space="preserve">T4/2026</t>
  </si>
  <si>
    <t xml:space="preserve">T5/2026</t>
  </si>
  <si>
    <t xml:space="preserve">T6/2026</t>
  </si>
  <si>
    <t xml:space="preserve">T7/2026</t>
  </si>
  <si>
    <t xml:space="preserve">KIỂM TRA: MP ngoài 1.312.000 có trong bảng chi tiết nhưng chưa cộng vào Thu khác. TOPUP trừ 10% VAT</t>
  </si>
  <si>
    <t xml:space="preserve">T8/2026</t>
  </si>
  <si>
    <t xml:space="preserve">KIỂM TRA: tiền nước ghi cả hóa đơn 3,95 tr, phần 671 theo đồng hồ chỉ 1,46 tr (chủ nhà 63%)</t>
  </si>
  <si>
    <t xml:space="preserve">T9/2026</t>
  </si>
  <si>
    <t xml:space="preserve">KIỂM TRA: phiếu nước T9 đang copy T8; nước trong CHI 3.541.210 không khớp phiếu. Vật tư 10,2 tr cao bất thường</t>
  </si>
  <si>
    <t xml:space="preserve">T10/2026</t>
  </si>
  <si>
    <t xml:space="preserve">T11/2026</t>
  </si>
  <si>
    <t xml:space="preserve">T12/2026</t>
  </si>
  <si>
    <t xml:space="preserve">TỔNG CỘNG</t>
  </si>
  <si>
    <t xml:space="preserve">TRUNG BÌNH tháng thường</t>
  </si>
  <si>
    <t xml:space="preserve">(bỏ tháng Tết)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</si>
</sst>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;\(#,##0\);\-"/>
    <numFmt numFmtId="167" formatCode="0.0%;\(0.0%\);\-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Lãi theo tháng (đ)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'Tổng quan'!E3</c:f>
              <c:strCache>
                <c:ptCount val="1"/>
                <c:pt idx="0">
                  <c:v>Lãi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quan'!$D$4:$D$21</c:f>
              <c:strCache>
                <c:ptCount val="18"/>
                <c:pt idx="0">
                  <c:v>T7/2025</c:v>
                </c:pt>
                <c:pt idx="1">
                  <c:v>T8/2025</c:v>
                </c:pt>
                <c:pt idx="2">
                  <c:v>T9/2025</c:v>
                </c:pt>
                <c:pt idx="3">
                  <c:v>T10/2025</c:v>
                </c:pt>
                <c:pt idx="4">
                  <c:v>T11/2025</c:v>
                </c:pt>
                <c:pt idx="5">
                  <c:v>T12/2025</c:v>
                </c:pt>
                <c:pt idx="6">
                  <c:v>T1/2026</c:v>
                </c:pt>
                <c:pt idx="7">
                  <c:v>T2/2026</c:v>
                </c:pt>
                <c:pt idx="8">
                  <c:v>T3/2026</c:v>
                </c:pt>
                <c:pt idx="9">
                  <c:v>T4/2026</c:v>
                </c:pt>
                <c:pt idx="10">
                  <c:v>T5/2026</c:v>
                </c:pt>
                <c:pt idx="11">
                  <c:v>T6/2026</c:v>
                </c:pt>
                <c:pt idx="12">
                  <c:v>T7/2026</c:v>
                </c:pt>
                <c:pt idx="13">
                  <c:v>T8/2026</c:v>
                </c:pt>
                <c:pt idx="14">
                  <c:v>T9/2026</c:v>
                </c:pt>
                <c:pt idx="15">
                  <c:v>T10/2026</c:v>
                </c:pt>
                <c:pt idx="16">
                  <c:v>T11/2026</c:v>
                </c:pt>
                <c:pt idx="17">
                  <c:v>T12/2026</c:v>
                </c:pt>
              </c:strCache>
            </c:strRef>
          </c:cat>
          <c:val>
            <c:numRef>
              <c:f>'Tổng quan'!$E$4:$E$21</c:f>
              <c:numCache>
                <c:formatCode>#,##0;\(#,##0\);\-</c:formatCode>
                <c:ptCount val="18"/>
                <c:pt idx="0">
                  <c:v>15355298</c:v>
                </c:pt>
                <c:pt idx="1">
                  <c:v>28240643</c:v>
                </c:pt>
                <c:pt idx="2">
                  <c:v>19789709</c:v>
                </c:pt>
                <c:pt idx="3">
                  <c:v>20955731</c:v>
                </c:pt>
                <c:pt idx="4">
                  <c:v>39593747</c:v>
                </c:pt>
                <c:pt idx="5">
                  <c:v>32779676</c:v>
                </c:pt>
                <c:pt idx="6">
                  <c:v>20075525</c:v>
                </c:pt>
                <c:pt idx="7">
                  <c:v>83939293</c:v>
                </c:pt>
                <c:pt idx="8">
                  <c:v>27310539</c:v>
                </c:pt>
                <c:pt idx="9">
                  <c:v>17790309</c:v>
                </c:pt>
                <c:pt idx="10">
                  <c:v>20758897</c:v>
                </c:pt>
                <c:pt idx="11">
                  <c:v>22273920</c:v>
                </c:pt>
                <c:pt idx="12">
                  <c:v>28803299</c:v>
                </c:pt>
                <c:pt idx="13">
                  <c:v>32579790</c:v>
                </c:pt>
                <c:pt idx="14">
                  <c:v>19107831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85802259"/>
        <c:axId val="64410723"/>
      </c:barChart>
      <c:catAx>
        <c:axId val="85802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10723"/>
        <c:crosses val="autoZero"/>
        <c:auto val="1"/>
        <c:lblAlgn val="ctr"/>
        <c:lblOffset val="100"/>
        <c:noMultiLvlLbl val="0"/>
      </c:catAx>
      <c:valAx>
        <c:axId val="64410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022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Biên lãi và % nhân sự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'Tổng quan'!F3</c:f>
              <c:strCache>
                <c:ptCount val="1"/>
                <c:pt idx="0">
                  <c:v>Biên lãi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quan'!$D$4:$D$21</c:f>
              <c:strCache>
                <c:ptCount val="18"/>
                <c:pt idx="0">
                  <c:v>T7/2025</c:v>
                </c:pt>
                <c:pt idx="1">
                  <c:v>T8/2025</c:v>
                </c:pt>
                <c:pt idx="2">
                  <c:v>T9/2025</c:v>
                </c:pt>
                <c:pt idx="3">
                  <c:v>T10/2025</c:v>
                </c:pt>
                <c:pt idx="4">
                  <c:v>T11/2025</c:v>
                </c:pt>
                <c:pt idx="5">
                  <c:v>T12/2025</c:v>
                </c:pt>
                <c:pt idx="6">
                  <c:v>T1/2026</c:v>
                </c:pt>
                <c:pt idx="7">
                  <c:v>T2/2026</c:v>
                </c:pt>
                <c:pt idx="8">
                  <c:v>T3/2026</c:v>
                </c:pt>
                <c:pt idx="9">
                  <c:v>T4/2026</c:v>
                </c:pt>
                <c:pt idx="10">
                  <c:v>T5/2026</c:v>
                </c:pt>
                <c:pt idx="11">
                  <c:v>T6/2026</c:v>
                </c:pt>
                <c:pt idx="12">
                  <c:v>T7/2026</c:v>
                </c:pt>
                <c:pt idx="13">
                  <c:v>T8/2026</c:v>
                </c:pt>
                <c:pt idx="14">
                  <c:v>T9/2026</c:v>
                </c:pt>
                <c:pt idx="15">
                  <c:v>T10/2026</c:v>
                </c:pt>
                <c:pt idx="16">
                  <c:v>T11/2026</c:v>
                </c:pt>
                <c:pt idx="17">
                  <c:v>T12/2026</c:v>
                </c:pt>
              </c:strCache>
            </c:strRef>
          </c:cat>
          <c:val>
            <c:numRef>
              <c:f>'Tổng quan'!$F$4:$F$21</c:f>
              <c:numCache>
                <c:formatCode>0.0%;\(0.0%\);\-</c:formatCode>
                <c:ptCount val="18"/>
                <c:pt idx="0">
                  <c:v>0.11082471183608</c:v>
                </c:pt>
                <c:pt idx="1">
                  <c:v>0.173090226209126</c:v>
                </c:pt>
                <c:pt idx="2">
                  <c:v>0.135354398695178</c:v>
                </c:pt>
                <c:pt idx="3">
                  <c:v>0.130244144465134</c:v>
                </c:pt>
                <c:pt idx="4">
                  <c:v>0.22293875254954</c:v>
                </c:pt>
                <c:pt idx="5">
                  <c:v>0.195125799822785</c:v>
                </c:pt>
                <c:pt idx="6">
                  <c:v>0.127129898084763</c:v>
                </c:pt>
                <c:pt idx="7">
                  <c:v>0.311821517803613</c:v>
                </c:pt>
                <c:pt idx="8">
                  <c:v>0.176730275777849</c:v>
                </c:pt>
                <c:pt idx="9">
                  <c:v>0.118740989332339</c:v>
                </c:pt>
                <c:pt idx="10">
                  <c:v>0.135200209193712</c:v>
                </c:pt>
                <c:pt idx="11">
                  <c:v>0.14465364406854</c:v>
                </c:pt>
                <c:pt idx="12">
                  <c:v>0.184674695787454</c:v>
                </c:pt>
                <c:pt idx="13">
                  <c:v>0.192252726937809</c:v>
                </c:pt>
                <c:pt idx="14">
                  <c:v>0.130783677469541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'Tổng quan'!G3</c:f>
              <c:strCache>
                <c:ptCount val="1"/>
                <c:pt idx="0">
                  <c:v>% Nhân sự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quan'!$D$4:$D$21</c:f>
              <c:strCache>
                <c:ptCount val="18"/>
                <c:pt idx="0">
                  <c:v>T7/2025</c:v>
                </c:pt>
                <c:pt idx="1">
                  <c:v>T8/2025</c:v>
                </c:pt>
                <c:pt idx="2">
                  <c:v>T9/2025</c:v>
                </c:pt>
                <c:pt idx="3">
                  <c:v>T10/2025</c:v>
                </c:pt>
                <c:pt idx="4">
                  <c:v>T11/2025</c:v>
                </c:pt>
                <c:pt idx="5">
                  <c:v>T12/2025</c:v>
                </c:pt>
                <c:pt idx="6">
                  <c:v>T1/2026</c:v>
                </c:pt>
                <c:pt idx="7">
                  <c:v>T2/2026</c:v>
                </c:pt>
                <c:pt idx="8">
                  <c:v>T3/2026</c:v>
                </c:pt>
                <c:pt idx="9">
                  <c:v>T4/2026</c:v>
                </c:pt>
                <c:pt idx="10">
                  <c:v>T5/2026</c:v>
                </c:pt>
                <c:pt idx="11">
                  <c:v>T6/2026</c:v>
                </c:pt>
                <c:pt idx="12">
                  <c:v>T7/2026</c:v>
                </c:pt>
                <c:pt idx="13">
                  <c:v>T8/2026</c:v>
                </c:pt>
                <c:pt idx="14">
                  <c:v>T9/2026</c:v>
                </c:pt>
                <c:pt idx="15">
                  <c:v>T10/2026</c:v>
                </c:pt>
                <c:pt idx="16">
                  <c:v>T11/2026</c:v>
                </c:pt>
                <c:pt idx="17">
                  <c:v>T12/2026</c:v>
                </c:pt>
              </c:strCache>
            </c:strRef>
          </c:cat>
          <c:val>
            <c:numRef>
              <c:f>'Tổng quan'!$G$4:$G$21</c:f>
              <c:numCache>
                <c:formatCode>0.0%;\(0.0%\);\-</c:formatCode>
                <c:ptCount val="18"/>
                <c:pt idx="0">
                  <c:v>0.477747543090414</c:v>
                </c:pt>
                <c:pt idx="1">
                  <c:v>0.474332554037517</c:v>
                </c:pt>
                <c:pt idx="2">
                  <c:v>0.521716814535559</c:v>
                </c:pt>
                <c:pt idx="3">
                  <c:v>0.502176653713773</c:v>
                </c:pt>
                <c:pt idx="4">
                  <c:v>0.502038814110512</c:v>
                </c:pt>
                <c:pt idx="5">
                  <c:v>0.529074011976048</c:v>
                </c:pt>
                <c:pt idx="6">
                  <c:v>0.576373024000785</c:v>
                </c:pt>
                <c:pt idx="7">
                  <c:v>0.550794640026009</c:v>
                </c:pt>
                <c:pt idx="8">
                  <c:v>0.541987642471207</c:v>
                </c:pt>
                <c:pt idx="9">
                  <c:v>0.596207462347903</c:v>
                </c:pt>
                <c:pt idx="10">
                  <c:v>0.523643796214533</c:v>
                </c:pt>
                <c:pt idx="11">
                  <c:v>0.536048490158252</c:v>
                </c:pt>
                <c:pt idx="12">
                  <c:v>0.520673121615375</c:v>
                </c:pt>
                <c:pt idx="13">
                  <c:v>0.516134003935528</c:v>
                </c:pt>
                <c:pt idx="14">
                  <c:v>0.507726574166756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72410"/>
        <c:axId val="2673590"/>
      </c:lineChart>
      <c:catAx>
        <c:axId val="61872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3590"/>
        <c:crosses val="autoZero"/>
        <c:auto val="1"/>
        <c:lblAlgn val="ctr"/>
        <c:lblOffset val="100"/>
        <c:noMultiLvlLbl val="0"/>
      </c:catAx>
      <c:valAx>
        <c:axId val="267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72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20</xdr:col>
      <xdr:colOff>581760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9258480" y="380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160560</xdr:rowOff>
    </xdr:from>
    <xdr:to>
      <xdr:col>20</xdr:col>
      <xdr:colOff>581760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9258480" y="3619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  <c r="E3" s="3" t="s">
        <v>3</v>
      </c>
      <c r="F3" s="3" t="s">
        <v>4</v>
      </c>
      <c r="G3" s="3" t="s">
        <v>5</v>
      </c>
    </row>
    <row r="4" customFormat="false" ht="15" hidden="false" customHeight="false" outlineLevel="0" collapsed="false">
      <c r="A4" s="4" t="s">
        <v>6</v>
      </c>
      <c r="B4" s="5" t="n">
        <f aca="false">COUNT('Dữ liệu tháng'!C2:C19)</f>
        <v>15</v>
      </c>
      <c r="D4" s="4" t="str">
        <f aca="false">'Dữ liệu tháng'!A2</f>
        <v>T7/2025</v>
      </c>
      <c r="E4" s="6" t="n">
        <f aca="false">IF('Dữ liệu tháng'!C2="",0,'Dữ liệu tháng'!S2)</f>
        <v>15355298</v>
      </c>
      <c r="F4" s="7" t="n">
        <f aca="false">IF('Dữ liệu tháng'!C2="",0,'Dữ liệu tháng'!T2)</f>
        <v>0.11082471183608</v>
      </c>
      <c r="G4" s="7" t="n">
        <f aca="false">IF('Dữ liệu tháng'!C2="",0,'Dữ liệu tháng'!U2)</f>
        <v>0.477747543090414</v>
      </c>
    </row>
    <row r="5" customFormat="false" ht="15" hidden="false" customHeight="false" outlineLevel="0" collapsed="false">
      <c r="A5" s="4" t="s">
        <v>7</v>
      </c>
      <c r="B5" s="8" t="n">
        <f aca="false">'Dữ liệu tháng'!S21</f>
        <v>429354207</v>
      </c>
      <c r="D5" s="4" t="str">
        <f aca="false">'Dữ liệu tháng'!A3</f>
        <v>T8/2025</v>
      </c>
      <c r="E5" s="6" t="n">
        <f aca="false">IF('Dữ liệu tháng'!C3="",0,'Dữ liệu tháng'!S3)</f>
        <v>28240643</v>
      </c>
      <c r="F5" s="7" t="n">
        <f aca="false">IF('Dữ liệu tháng'!C3="",0,'Dữ liệu tháng'!T3)</f>
        <v>0.173090226209126</v>
      </c>
      <c r="G5" s="7" t="n">
        <f aca="false">IF('Dữ liệu tháng'!C3="",0,'Dữ liệu tháng'!U3)</f>
        <v>0.474332554037517</v>
      </c>
    </row>
    <row r="6" customFormat="false" ht="15" hidden="false" customHeight="false" outlineLevel="0" collapsed="false">
      <c r="A6" s="4" t="s">
        <v>8</v>
      </c>
      <c r="B6" s="8" t="n">
        <f aca="false">'Dữ liệu tháng'!S22</f>
        <v>24672493.8571429</v>
      </c>
      <c r="D6" s="4" t="str">
        <f aca="false">'Dữ liệu tháng'!A4</f>
        <v>T9/2025</v>
      </c>
      <c r="E6" s="6" t="n">
        <f aca="false">IF('Dữ liệu tháng'!C4="",0,'Dữ liệu tháng'!S4)</f>
        <v>19789709</v>
      </c>
      <c r="F6" s="7" t="n">
        <f aca="false">IF('Dữ liệu tháng'!C4="",0,'Dữ liệu tháng'!T4)</f>
        <v>0.135354398695178</v>
      </c>
      <c r="G6" s="7" t="n">
        <f aca="false">IF('Dữ liệu tháng'!C4="",0,'Dữ liệu tháng'!U4)</f>
        <v>0.521716814535559</v>
      </c>
    </row>
    <row r="7" customFormat="false" ht="15" hidden="false" customHeight="false" outlineLevel="0" collapsed="false">
      <c r="A7" s="4" t="s">
        <v>9</v>
      </c>
      <c r="B7" s="8" t="n">
        <f aca="false">'Dữ liệu tháng'!C22</f>
        <v>148929137.571429</v>
      </c>
      <c r="D7" s="4" t="str">
        <f aca="false">'Dữ liệu tháng'!A5</f>
        <v>T10/2025</v>
      </c>
      <c r="E7" s="6" t="n">
        <f aca="false">IF('Dữ liệu tháng'!C5="",0,'Dữ liệu tháng'!S5)</f>
        <v>20955731</v>
      </c>
      <c r="F7" s="7" t="n">
        <f aca="false">IF('Dữ liệu tháng'!C5="",0,'Dữ liệu tháng'!T5)</f>
        <v>0.130244144465134</v>
      </c>
      <c r="G7" s="7" t="n">
        <f aca="false">IF('Dữ liệu tháng'!C5="",0,'Dữ liệu tháng'!U5)</f>
        <v>0.502176653713773</v>
      </c>
    </row>
    <row r="8" customFormat="false" ht="15" hidden="false" customHeight="false" outlineLevel="0" collapsed="false">
      <c r="A8" s="4" t="s">
        <v>10</v>
      </c>
      <c r="B8" s="9" t="n">
        <f aca="false">'Dữ liệu tháng'!T21</f>
        <v>0.174185740899577</v>
      </c>
      <c r="D8" s="4" t="str">
        <f aca="false">'Dữ liệu tháng'!A6</f>
        <v>T11/2025</v>
      </c>
      <c r="E8" s="6" t="n">
        <f aca="false">IF('Dữ liệu tháng'!C6="",0,'Dữ liệu tháng'!S6)</f>
        <v>39593747</v>
      </c>
      <c r="F8" s="7" t="n">
        <f aca="false">IF('Dữ liệu tháng'!C6="",0,'Dữ liệu tháng'!T6)</f>
        <v>0.22293875254954</v>
      </c>
      <c r="G8" s="7" t="n">
        <f aca="false">IF('Dữ liệu tháng'!C6="",0,'Dữ liệu tháng'!U6)</f>
        <v>0.502038814110512</v>
      </c>
    </row>
    <row r="9" customFormat="false" ht="15" hidden="false" customHeight="false" outlineLevel="0" collapsed="false">
      <c r="A9" s="4" t="s">
        <v>11</v>
      </c>
      <c r="B9" s="9" t="n">
        <f aca="false">'Dữ liệu tháng'!U21</f>
        <v>0.525934063357135</v>
      </c>
      <c r="D9" s="4" t="str">
        <f aca="false">'Dữ liệu tháng'!A7</f>
        <v>T12/2025</v>
      </c>
      <c r="E9" s="6" t="n">
        <f aca="false">IF('Dữ liệu tháng'!C7="",0,'Dữ liệu tháng'!S7)</f>
        <v>32779676</v>
      </c>
      <c r="F9" s="7" t="n">
        <f aca="false">IF('Dữ liệu tháng'!C7="",0,'Dữ liệu tháng'!T7)</f>
        <v>0.195125799822785</v>
      </c>
      <c r="G9" s="7" t="n">
        <f aca="false">IF('Dữ liệu tháng'!C7="",0,'Dữ liệu tháng'!U7)</f>
        <v>0.529074011976048</v>
      </c>
    </row>
    <row r="10" customFormat="false" ht="15" hidden="false" customHeight="false" outlineLevel="0" collapsed="false">
      <c r="A10" s="4" t="s">
        <v>12</v>
      </c>
      <c r="B10" s="10" t="str">
        <f aca="false">INDEX('Dữ liệu tháng'!A2:A19,MATCH(MAX('Dữ liệu tháng'!S2:S19),'Dữ liệu tháng'!S2:S19,0))</f>
        <v>T2/2026</v>
      </c>
      <c r="D10" s="4" t="str">
        <f aca="false">'Dữ liệu tháng'!A8</f>
        <v>T1/2026</v>
      </c>
      <c r="E10" s="6" t="n">
        <f aca="false">IF('Dữ liệu tháng'!C8="",0,'Dữ liệu tháng'!S8)</f>
        <v>20075525</v>
      </c>
      <c r="F10" s="7" t="n">
        <f aca="false">IF('Dữ liệu tháng'!C8="",0,'Dữ liệu tháng'!T8)</f>
        <v>0.127129898084763</v>
      </c>
      <c r="G10" s="7" t="n">
        <f aca="false">IF('Dữ liệu tháng'!C8="",0,'Dữ liệu tháng'!U8)</f>
        <v>0.576373024000785</v>
      </c>
    </row>
    <row r="11" customFormat="false" ht="15" hidden="false" customHeight="false" outlineLevel="0" collapsed="false">
      <c r="A11" s="4" t="s">
        <v>13</v>
      </c>
      <c r="B11" s="10" t="str">
        <f aca="false">INDEX('Dữ liệu tháng'!A2:A19,MATCH(MIN('Dữ liệu tháng'!S2:S19),'Dữ liệu tháng'!S2:S19,0))</f>
        <v>T7/2025</v>
      </c>
      <c r="D11" s="4" t="str">
        <f aca="false">'Dữ liệu tháng'!A9</f>
        <v>T2/2026</v>
      </c>
      <c r="E11" s="6" t="n">
        <f aca="false">IF('Dữ liệu tháng'!C9="",0,'Dữ liệu tháng'!S9)</f>
        <v>83939293</v>
      </c>
      <c r="F11" s="7" t="n">
        <f aca="false">IF('Dữ liệu tháng'!C9="",0,'Dữ liệu tháng'!T9)</f>
        <v>0.311821517803613</v>
      </c>
      <c r="G11" s="7" t="n">
        <f aca="false">IF('Dữ liệu tháng'!C9="",0,'Dữ liệu tháng'!U9)</f>
        <v>0.550794640026009</v>
      </c>
    </row>
    <row r="12" customFormat="false" ht="15" hidden="false" customHeight="false" outlineLevel="0" collapsed="false">
      <c r="A12" s="4" t="s">
        <v>14</v>
      </c>
      <c r="B12" s="8" t="n">
        <f aca="false">'Dữ liệu tháng'!Z21</f>
        <v>171741682.8</v>
      </c>
      <c r="D12" s="4" t="str">
        <f aca="false">'Dữ liệu tháng'!A10</f>
        <v>T3/2026</v>
      </c>
      <c r="E12" s="6" t="n">
        <f aca="false">IF('Dữ liệu tháng'!C10="",0,'Dữ liệu tháng'!S10)</f>
        <v>27310539</v>
      </c>
      <c r="F12" s="7" t="n">
        <f aca="false">IF('Dữ liệu tháng'!C10="",0,'Dữ liệu tháng'!T10)</f>
        <v>0.176730275777849</v>
      </c>
      <c r="G12" s="7" t="n">
        <f aca="false">IF('Dữ liệu tháng'!C10="",0,'Dữ liệu tháng'!U10)</f>
        <v>0.541987642471207</v>
      </c>
    </row>
    <row r="13" customFormat="false" ht="15" hidden="false" customHeight="false" outlineLevel="0" collapsed="false">
      <c r="A13" s="4" t="s">
        <v>15</v>
      </c>
      <c r="B13" s="8" t="n">
        <f aca="false">'Dữ liệu tháng'!AA21</f>
        <v>128806262.1</v>
      </c>
      <c r="D13" s="4" t="str">
        <f aca="false">'Dữ liệu tháng'!A11</f>
        <v>T4/2026</v>
      </c>
      <c r="E13" s="6" t="n">
        <f aca="false">IF('Dữ liệu tháng'!C11="",0,'Dữ liệu tháng'!S11)</f>
        <v>17790309</v>
      </c>
      <c r="F13" s="7" t="n">
        <f aca="false">IF('Dữ liệu tháng'!C11="",0,'Dữ liệu tháng'!T11)</f>
        <v>0.118740989332339</v>
      </c>
      <c r="G13" s="7" t="n">
        <f aca="false">IF('Dữ liệu tháng'!C11="",0,'Dữ liệu tháng'!U11)</f>
        <v>0.596207462347903</v>
      </c>
    </row>
    <row r="14" customFormat="false" ht="15" hidden="false" customHeight="false" outlineLevel="0" collapsed="false">
      <c r="A14" s="4" t="s">
        <v>16</v>
      </c>
      <c r="B14" s="8" t="n">
        <f aca="false">'Dữ liệu tháng'!AB21</f>
        <v>128806262.1</v>
      </c>
      <c r="D14" s="4" t="str">
        <f aca="false">'Dữ liệu tháng'!A12</f>
        <v>T5/2026</v>
      </c>
      <c r="E14" s="6" t="n">
        <f aca="false">IF('Dữ liệu tháng'!C12="",0,'Dữ liệu tháng'!S12)</f>
        <v>20758897</v>
      </c>
      <c r="F14" s="7" t="n">
        <f aca="false">IF('Dữ liệu tháng'!C12="",0,'Dữ liệu tháng'!T12)</f>
        <v>0.135200209193712</v>
      </c>
      <c r="G14" s="7" t="n">
        <f aca="false">IF('Dữ liệu tháng'!C12="",0,'Dữ liệu tháng'!U12)</f>
        <v>0.523643796214533</v>
      </c>
    </row>
    <row r="15" customFormat="false" ht="15" hidden="false" customHeight="false" outlineLevel="0" collapsed="false">
      <c r="A15" s="4" t="s">
        <v>17</v>
      </c>
      <c r="B15" s="8" t="n">
        <f aca="false">'Dữ liệu tháng'!AE21</f>
        <v>-1</v>
      </c>
      <c r="D15" s="4" t="str">
        <f aca="false">'Dữ liệu tháng'!A13</f>
        <v>T6/2026</v>
      </c>
      <c r="E15" s="6" t="n">
        <f aca="false">IF('Dữ liệu tháng'!C13="",0,'Dữ liệu tháng'!S13)</f>
        <v>22273920</v>
      </c>
      <c r="F15" s="7" t="n">
        <f aca="false">IF('Dữ liệu tháng'!C13="",0,'Dữ liệu tháng'!T13)</f>
        <v>0.14465364406854</v>
      </c>
      <c r="G15" s="7" t="n">
        <f aca="false">IF('Dữ liệu tháng'!C13="",0,'Dữ liệu tháng'!U13)</f>
        <v>0.536048490158252</v>
      </c>
    </row>
    <row r="16" customFormat="false" ht="15" hidden="false" customHeight="false" outlineLevel="0" collapsed="false">
      <c r="D16" s="4" t="str">
        <f aca="false">'Dữ liệu tháng'!A14</f>
        <v>T7/2026</v>
      </c>
      <c r="E16" s="6" t="n">
        <f aca="false">IF('Dữ liệu tháng'!C14="",0,'Dữ liệu tháng'!S14)</f>
        <v>28803299</v>
      </c>
      <c r="F16" s="7" t="n">
        <f aca="false">IF('Dữ liệu tháng'!C14="",0,'Dữ liệu tháng'!T14)</f>
        <v>0.184674695787454</v>
      </c>
      <c r="G16" s="7" t="n">
        <f aca="false">IF('Dữ liệu tháng'!C14="",0,'Dữ liệu tháng'!U14)</f>
        <v>0.520673121615375</v>
      </c>
    </row>
    <row r="17" customFormat="false" ht="15" hidden="false" customHeight="false" outlineLevel="0" collapsed="false">
      <c r="D17" s="4" t="str">
        <f aca="false">'Dữ liệu tháng'!A15</f>
        <v>T8/2026</v>
      </c>
      <c r="E17" s="6" t="n">
        <f aca="false">IF('Dữ liệu tháng'!C15="",0,'Dữ liệu tháng'!S15)</f>
        <v>32579790</v>
      </c>
      <c r="F17" s="7" t="n">
        <f aca="false">IF('Dữ liệu tháng'!C15="",0,'Dữ liệu tháng'!T15)</f>
        <v>0.192252726937809</v>
      </c>
      <c r="G17" s="7" t="n">
        <f aca="false">IF('Dữ liệu tháng'!C15="",0,'Dữ liệu tháng'!U15)</f>
        <v>0.516134003935528</v>
      </c>
    </row>
    <row r="18" customFormat="false" ht="15" hidden="false" customHeight="false" outlineLevel="0" collapsed="false">
      <c r="A18" s="11" t="s">
        <v>18</v>
      </c>
      <c r="D18" s="4" t="str">
        <f aca="false">'Dữ liệu tháng'!A16</f>
        <v>T9/2026</v>
      </c>
      <c r="E18" s="6" t="n">
        <f aca="false">IF('Dữ liệu tháng'!C16="",0,'Dữ liệu tháng'!S16)</f>
        <v>19107831</v>
      </c>
      <c r="F18" s="7" t="n">
        <f aca="false">IF('Dữ liệu tháng'!C16="",0,'Dữ liệu tháng'!T16)</f>
        <v>0.130783677469541</v>
      </c>
      <c r="G18" s="7" t="n">
        <f aca="false">IF('Dữ liệu tháng'!C16="",0,'Dữ liệu tháng'!U16)</f>
        <v>0.507726574166756</v>
      </c>
    </row>
    <row r="19" customFormat="false" ht="15" hidden="false" customHeight="false" outlineLevel="0" collapsed="false">
      <c r="A19" s="4" t="s">
        <v>19</v>
      </c>
      <c r="D19" s="4" t="str">
        <f aca="false">'Dữ liệu tháng'!A17</f>
        <v>T10/2026</v>
      </c>
      <c r="E19" s="6" t="n">
        <f aca="false">IF('Dữ liệu tháng'!C17="",0,'Dữ liệu tháng'!S17)</f>
        <v>0</v>
      </c>
      <c r="F19" s="7" t="n">
        <f aca="false">IF('Dữ liệu tháng'!C17="",0,'Dữ liệu tháng'!T17)</f>
        <v>0</v>
      </c>
      <c r="G19" s="7" t="n">
        <f aca="false">IF('Dữ liệu tháng'!C17="",0,'Dữ liệu tháng'!U17)</f>
        <v>0</v>
      </c>
    </row>
    <row r="20" customFormat="false" ht="15" hidden="false" customHeight="false" outlineLevel="0" collapsed="false">
      <c r="A20" s="4" t="s">
        <v>20</v>
      </c>
      <c r="D20" s="4" t="str">
        <f aca="false">'Dữ liệu tháng'!A18</f>
        <v>T11/2026</v>
      </c>
      <c r="E20" s="6" t="n">
        <f aca="false">IF('Dữ liệu tháng'!C18="",0,'Dữ liệu tháng'!S18)</f>
        <v>0</v>
      </c>
      <c r="F20" s="7" t="n">
        <f aca="false">IF('Dữ liệu tháng'!C18="",0,'Dữ liệu tháng'!T18)</f>
        <v>0</v>
      </c>
      <c r="G20" s="7" t="n">
        <f aca="false">IF('Dữ liệu tháng'!C18="",0,'Dữ liệu tháng'!U18)</f>
        <v>0</v>
      </c>
    </row>
    <row r="21" customFormat="false" ht="15" hidden="false" customHeight="false" outlineLevel="0" collapsed="false">
      <c r="A21" s="4" t="s">
        <v>21</v>
      </c>
      <c r="D21" s="4" t="str">
        <f aca="false">'Dữ liệu tháng'!A19</f>
        <v>T12/2026</v>
      </c>
      <c r="E21" s="6" t="n">
        <f aca="false">IF('Dữ liệu tháng'!C19="",0,'Dữ liệu tháng'!S19)</f>
        <v>0</v>
      </c>
      <c r="F21" s="7" t="n">
        <f aca="false">IF('Dữ liệu tháng'!C19="",0,'Dữ liệu tháng'!T19)</f>
        <v>0</v>
      </c>
      <c r="G21" s="7" t="n">
        <f aca="false">IF('Dữ liệu tháng'!C19="",0,'Dữ liệu tháng'!U19)</f>
        <v>0</v>
      </c>
    </row>
    <row r="22" customFormat="false" ht="15" hidden="false" customHeight="false" outlineLevel="0" collapsed="false">
      <c r="A22" s="4" t="s">
        <v>22</v>
      </c>
    </row>
    <row r="23" customFormat="false" ht="15" hidden="false" customHeight="false" outlineLevel="0" collapsed="false">
      <c r="A23" s="4" t="s">
        <v>23</v>
      </c>
    </row>
    <row r="24" customFormat="false" ht="15" hidden="false" customHeight="false" outlineLevel="0" collapsed="false">
      <c r="A24" s="4" t="s">
        <v>24</v>
      </c>
    </row>
    <row r="25" customFormat="false" ht="15" hidden="false" customHeight="false" outlineLevel="0" collapsed="false">
      <c r="A25" s="4" t="s">
        <v>25</v>
      </c>
    </row>
    <row r="26" customFormat="false" ht="15" hidden="false" customHeight="false" outlineLevel="0" collapsed="false">
      <c r="A26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4" t="s">
        <v>28</v>
      </c>
      <c r="B3" s="12" t="n">
        <v>0.4</v>
      </c>
      <c r="C3" s="2" t="s">
        <v>29</v>
      </c>
    </row>
    <row r="4" customFormat="false" ht="15" hidden="false" customHeight="false" outlineLevel="0" collapsed="false">
      <c r="A4" s="4" t="s">
        <v>30</v>
      </c>
      <c r="B4" s="12" t="n">
        <v>0.3</v>
      </c>
      <c r="C4" s="2" t="s">
        <v>29</v>
      </c>
    </row>
    <row r="5" customFormat="false" ht="15" hidden="false" customHeight="false" outlineLevel="0" collapsed="false">
      <c r="A5" s="4" t="s">
        <v>31</v>
      </c>
      <c r="B5" s="7" t="n">
        <f aca="false">1-B3-B4</f>
        <v>0.3</v>
      </c>
      <c r="C5" s="2" t="s">
        <v>32</v>
      </c>
    </row>
    <row r="6" customFormat="false" ht="15" hidden="false" customHeight="false" outlineLevel="0" collapsed="false">
      <c r="A6" s="4" t="s">
        <v>33</v>
      </c>
      <c r="B6" s="12" t="n">
        <v>0.12</v>
      </c>
      <c r="C6" s="2" t="s">
        <v>34</v>
      </c>
    </row>
    <row r="7" customFormat="false" ht="15" hidden="false" customHeight="false" outlineLevel="0" collapsed="false">
      <c r="A7" s="4" t="s">
        <v>35</v>
      </c>
      <c r="B7" s="12" t="n">
        <v>0.55</v>
      </c>
      <c r="C7" s="2" t="s">
        <v>36</v>
      </c>
    </row>
    <row r="8" customFormat="false" ht="15" hidden="false" customHeight="false" outlineLevel="0" collapsed="false">
      <c r="A8" s="4" t="s">
        <v>37</v>
      </c>
      <c r="B8" s="12" t="n">
        <v>0.1</v>
      </c>
      <c r="C8" s="2" t="s">
        <v>38</v>
      </c>
    </row>
    <row r="9" customFormat="false" ht="15" hidden="false" customHeight="false" outlineLevel="0" collapsed="false">
      <c r="A9" s="4" t="s">
        <v>39</v>
      </c>
      <c r="B9" s="12" t="n">
        <v>0.07</v>
      </c>
      <c r="C9" s="2" t="s">
        <v>40</v>
      </c>
    </row>
    <row r="12" customFormat="false" ht="15" hidden="false" customHeight="false" outlineLevel="0" collapsed="false">
      <c r="A12" s="11" t="s">
        <v>41</v>
      </c>
    </row>
    <row r="13" customFormat="false" ht="15" hidden="false" customHeight="false" outlineLevel="0" collapsed="false">
      <c r="A13" s="4" t="s">
        <v>42</v>
      </c>
    </row>
    <row r="14" customFormat="false" ht="15" hidden="false" customHeight="false" outlineLevel="0" collapsed="false">
      <c r="A14" s="4" t="s">
        <v>43</v>
      </c>
    </row>
    <row r="15" customFormat="false" ht="15" hidden="false" customHeight="false" outlineLevel="0" collapsed="false">
      <c r="A15" s="4" t="s">
        <v>44</v>
      </c>
    </row>
    <row r="16" customFormat="false" ht="15" hidden="false" customHeight="false" outlineLevel="0" collapsed="false">
      <c r="A16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1" min="3" style="0" width="14"/>
    <col collapsed="false" customWidth="true" hidden="false" outlineLevel="0" max="32" min="32" style="0" width="60"/>
  </cols>
  <sheetData>
    <row r="1" customFormat="false" ht="48" hidden="false" customHeight="true" outlineLevel="0" collapsed="false">
      <c r="A1" s="13" t="s">
        <v>2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  <c r="M1" s="13" t="s">
        <v>57</v>
      </c>
      <c r="N1" s="13" t="s">
        <v>58</v>
      </c>
      <c r="O1" s="13" t="s">
        <v>59</v>
      </c>
      <c r="P1" s="13" t="s">
        <v>60</v>
      </c>
      <c r="Q1" s="13" t="s">
        <v>61</v>
      </c>
      <c r="R1" s="13" t="s">
        <v>62</v>
      </c>
      <c r="S1" s="13" t="s">
        <v>63</v>
      </c>
      <c r="T1" s="13" t="s">
        <v>4</v>
      </c>
      <c r="U1" s="13" t="s">
        <v>64</v>
      </c>
      <c r="V1" s="13" t="s">
        <v>65</v>
      </c>
      <c r="W1" s="13" t="s">
        <v>66</v>
      </c>
      <c r="X1" s="13" t="s">
        <v>67</v>
      </c>
      <c r="Y1" s="13" t="s">
        <v>68</v>
      </c>
      <c r="Z1" s="13" t="s">
        <v>69</v>
      </c>
      <c r="AA1" s="13" t="s">
        <v>70</v>
      </c>
      <c r="AB1" s="13" t="s">
        <v>71</v>
      </c>
      <c r="AC1" s="13" t="s">
        <v>72</v>
      </c>
      <c r="AD1" s="13" t="s">
        <v>73</v>
      </c>
      <c r="AE1" s="13" t="s">
        <v>74</v>
      </c>
      <c r="AF1" s="13" t="s">
        <v>75</v>
      </c>
    </row>
    <row r="2" customFormat="false" ht="15" hidden="false" customHeight="false" outlineLevel="0" collapsed="false">
      <c r="A2" s="14" t="s">
        <v>76</v>
      </c>
      <c r="B2" s="14" t="s">
        <v>77</v>
      </c>
      <c r="C2" s="15" t="n">
        <v>132280000</v>
      </c>
      <c r="D2" s="15" t="n">
        <v>3964820</v>
      </c>
      <c r="E2" s="15" t="n">
        <v>2310000</v>
      </c>
      <c r="F2" s="16" t="n">
        <f aca="false">IF($C2="","",C2+D2+E2)</f>
        <v>138554820</v>
      </c>
      <c r="G2" s="15" t="n">
        <v>63196445</v>
      </c>
      <c r="H2" s="15" t="n">
        <v>28000000</v>
      </c>
      <c r="I2" s="15" t="n">
        <v>2730000</v>
      </c>
      <c r="J2" s="15" t="n">
        <v>12376909</v>
      </c>
      <c r="K2" s="15" t="n">
        <v>13466168</v>
      </c>
      <c r="L2" s="15" t="n">
        <v>0</v>
      </c>
      <c r="M2" s="15" t="n">
        <v>0</v>
      </c>
      <c r="N2" s="15" t="n">
        <v>330000</v>
      </c>
      <c r="O2" s="15" t="n">
        <v>3100000</v>
      </c>
      <c r="P2" s="15" t="n">
        <v>0</v>
      </c>
      <c r="Q2" s="15"/>
      <c r="R2" s="16" t="n">
        <f aca="false">IF($C2="","",SUM(G2:Q2))</f>
        <v>123199522</v>
      </c>
      <c r="S2" s="16" t="n">
        <f aca="false">IF($C2="","",F2-R2)</f>
        <v>15355298</v>
      </c>
      <c r="T2" s="17" t="n">
        <f aca="false">IF($C2="","",IF(F2=0,0,S2/F2))</f>
        <v>0.11082471183608</v>
      </c>
      <c r="U2" s="17" t="n">
        <f aca="false">IF($C2="","",IF(C2=0,0,G2/C2))</f>
        <v>0.477747543090414</v>
      </c>
      <c r="V2" s="17" t="n">
        <f aca="false">IF($C2="","",IF(C2=0,0,H2/C2))</f>
        <v>0.211672210462655</v>
      </c>
      <c r="W2" s="17" t="n">
        <f aca="false">IF($C2="","",IF(C2=0,0,K2/C2))</f>
        <v>0.101800483822195</v>
      </c>
      <c r="X2" s="17" t="n">
        <f aca="false">IF($C2="","",IF(C2=0,0,J2/C2))</f>
        <v>0.0935659888116117</v>
      </c>
      <c r="Y2" s="16" t="n">
        <f aca="false">IF($C2="","",(R2-J2-D2-E2)/(1-X2))</f>
        <v>115339662.57834</v>
      </c>
      <c r="Z2" s="16" t="n">
        <f aca="false">IF($C2="","",S2*'Thiết lập'!$B$3)</f>
        <v>6142119.2</v>
      </c>
      <c r="AA2" s="16" t="n">
        <f aca="false">IF($C2="","",S2*'Thiết lập'!$B$4)</f>
        <v>4606589.4</v>
      </c>
      <c r="AB2" s="16" t="n">
        <f aca="false">IF($C2="","",S2*'Thiết lập'!$B$5)</f>
        <v>4606589.4</v>
      </c>
      <c r="AC2" s="16" t="n">
        <f aca="false">IF($C2="","",IF(Q2&gt;0,S2,S2-C2*'Thiết lập'!$B$9))</f>
        <v>6095698</v>
      </c>
      <c r="AD2" s="15" t="n">
        <v>15355298</v>
      </c>
      <c r="AE2" s="16" t="n">
        <f aca="false">IF(OR($C2="",AD2=""),"",S2-AD2)</f>
        <v>0</v>
      </c>
      <c r="AF2" s="18" t="s">
        <v>78</v>
      </c>
    </row>
    <row r="3" customFormat="false" ht="15" hidden="false" customHeight="false" outlineLevel="0" collapsed="false">
      <c r="A3" s="14" t="s">
        <v>79</v>
      </c>
      <c r="B3" s="14" t="s">
        <v>77</v>
      </c>
      <c r="C3" s="15" t="n">
        <v>155639229</v>
      </c>
      <c r="D3" s="15" t="n">
        <v>6016390</v>
      </c>
      <c r="E3" s="15" t="n">
        <v>1500000</v>
      </c>
      <c r="F3" s="16" t="n">
        <f aca="false">IF($C3="","",C3+D3+E3)</f>
        <v>163155619</v>
      </c>
      <c r="G3" s="15" t="n">
        <v>73824753</v>
      </c>
      <c r="H3" s="15" t="n">
        <v>28000000</v>
      </c>
      <c r="I3" s="15" t="n">
        <v>0</v>
      </c>
      <c r="J3" s="15" t="n">
        <v>11359000</v>
      </c>
      <c r="K3" s="15" t="n">
        <v>16281223</v>
      </c>
      <c r="L3" s="15" t="n">
        <v>850000</v>
      </c>
      <c r="M3" s="15" t="n">
        <v>0</v>
      </c>
      <c r="N3" s="15" t="n">
        <v>4400000</v>
      </c>
      <c r="O3" s="15" t="n">
        <v>200000</v>
      </c>
      <c r="P3" s="15" t="n">
        <v>0</v>
      </c>
      <c r="Q3" s="15"/>
      <c r="R3" s="16" t="n">
        <f aca="false">IF($C3="","",SUM(G3:Q3))</f>
        <v>134914976</v>
      </c>
      <c r="S3" s="16" t="n">
        <f aca="false">IF($C3="","",F3-R3)</f>
        <v>28240643</v>
      </c>
      <c r="T3" s="17" t="n">
        <f aca="false">IF($C3="","",IF(F3=0,0,S3/F3))</f>
        <v>0.173090226209126</v>
      </c>
      <c r="U3" s="17" t="n">
        <f aca="false">IF($C3="","",IF(C3=0,0,G3/C3))</f>
        <v>0.474332554037517</v>
      </c>
      <c r="V3" s="17" t="n">
        <f aca="false">IF($C3="","",IF(C3=0,0,H3/C3))</f>
        <v>0.179903229924122</v>
      </c>
      <c r="W3" s="17" t="n">
        <f aca="false">IF($C3="","",IF(C3=0,0,K3/C3))</f>
        <v>0.104608735886246</v>
      </c>
      <c r="X3" s="17" t="n">
        <f aca="false">IF($C3="","",IF(C3=0,0,J3/C3))</f>
        <v>0.0729828853110034</v>
      </c>
      <c r="Y3" s="16" t="n">
        <f aca="false">IF($C3="","",(R3-J3-D3-E3)/(1-X3))</f>
        <v>125175235.884323</v>
      </c>
      <c r="Z3" s="16" t="n">
        <f aca="false">IF($C3="","",S3*'Thiết lập'!$B$3)</f>
        <v>11296257.2</v>
      </c>
      <c r="AA3" s="16" t="n">
        <f aca="false">IF($C3="","",S3*'Thiết lập'!$B$4)</f>
        <v>8472192.9</v>
      </c>
      <c r="AB3" s="16" t="n">
        <f aca="false">IF($C3="","",S3*'Thiết lập'!$B$5)</f>
        <v>8472192.9</v>
      </c>
      <c r="AC3" s="16" t="n">
        <f aca="false">IF($C3="","",IF(Q3&gt;0,S3,S3-C3*'Thiết lập'!$B$9))</f>
        <v>17345896.97</v>
      </c>
      <c r="AD3" s="15" t="n">
        <v>28240643</v>
      </c>
      <c r="AE3" s="16" t="n">
        <f aca="false">IF(OR($C3="",AD3=""),"",S3-AD3)</f>
        <v>0</v>
      </c>
      <c r="AF3" s="18"/>
    </row>
    <row r="4" customFormat="false" ht="15" hidden="false" customHeight="false" outlineLevel="0" collapsed="false">
      <c r="A4" s="14" t="s">
        <v>80</v>
      </c>
      <c r="B4" s="14" t="s">
        <v>77</v>
      </c>
      <c r="C4" s="15" t="n">
        <v>141116000</v>
      </c>
      <c r="D4" s="15" t="n">
        <v>4016619</v>
      </c>
      <c r="E4" s="15" t="n">
        <v>1074000</v>
      </c>
      <c r="F4" s="16" t="n">
        <f aca="false">IF($C4="","",C4+D4+E4)</f>
        <v>146206619</v>
      </c>
      <c r="G4" s="15" t="n">
        <v>73622590</v>
      </c>
      <c r="H4" s="15" t="n">
        <v>26500000</v>
      </c>
      <c r="I4" s="15" t="n">
        <v>0</v>
      </c>
      <c r="J4" s="15" t="n">
        <v>7455200</v>
      </c>
      <c r="K4" s="15" t="n">
        <v>13465787</v>
      </c>
      <c r="L4" s="15" t="n">
        <v>0</v>
      </c>
      <c r="M4" s="15" t="n">
        <v>0</v>
      </c>
      <c r="N4" s="15" t="n">
        <v>5373333</v>
      </c>
      <c r="O4" s="15" t="n">
        <v>0</v>
      </c>
      <c r="P4" s="15" t="n">
        <v>0</v>
      </c>
      <c r="Q4" s="15"/>
      <c r="R4" s="16" t="n">
        <f aca="false">IF($C4="","",SUM(G4:Q4))</f>
        <v>126416910</v>
      </c>
      <c r="S4" s="16" t="n">
        <f aca="false">IF($C4="","",F4-R4)</f>
        <v>19789709</v>
      </c>
      <c r="T4" s="17" t="n">
        <f aca="false">IF($C4="","",IF(F4=0,0,S4/F4))</f>
        <v>0.135354398695178</v>
      </c>
      <c r="U4" s="17" t="n">
        <f aca="false">IF($C4="","",IF(C4=0,0,G4/C4))</f>
        <v>0.521716814535559</v>
      </c>
      <c r="V4" s="17" t="n">
        <f aca="false">IF($C4="","",IF(C4=0,0,H4/C4))</f>
        <v>0.187788769522946</v>
      </c>
      <c r="W4" s="17" t="n">
        <f aca="false">IF($C4="","",IF(C4=0,0,K4/C4))</f>
        <v>0.0954235309957765</v>
      </c>
      <c r="X4" s="17" t="n">
        <f aca="false">IF($C4="","",IF(C4=0,0,J4/C4))</f>
        <v>0.0528302956433005</v>
      </c>
      <c r="Y4" s="16" t="n">
        <f aca="false">IF($C4="","",(R4-J4-D4-E4)/(1-X4))</f>
        <v>120222480.170372</v>
      </c>
      <c r="Z4" s="16" t="n">
        <f aca="false">IF($C4="","",S4*'Thiết lập'!$B$3)</f>
        <v>7915883.6</v>
      </c>
      <c r="AA4" s="16" t="n">
        <f aca="false">IF($C4="","",S4*'Thiết lập'!$B$4)</f>
        <v>5936912.7</v>
      </c>
      <c r="AB4" s="16" t="n">
        <f aca="false">IF($C4="","",S4*'Thiết lập'!$B$5)</f>
        <v>5936912.7</v>
      </c>
      <c r="AC4" s="16" t="n">
        <f aca="false">IF($C4="","",IF(Q4&gt;0,S4,S4-C4*'Thiết lập'!$B$9))</f>
        <v>9911589</v>
      </c>
      <c r="AD4" s="15" t="n">
        <v>19789709</v>
      </c>
      <c r="AE4" s="16" t="n">
        <f aca="false">IF(OR($C4="",AD4=""),"",S4-AD4)</f>
        <v>0</v>
      </c>
      <c r="AF4" s="18"/>
    </row>
    <row r="5" customFormat="false" ht="15" hidden="false" customHeight="false" outlineLevel="0" collapsed="false">
      <c r="A5" s="14" t="s">
        <v>81</v>
      </c>
      <c r="B5" s="14" t="s">
        <v>77</v>
      </c>
      <c r="C5" s="15" t="n">
        <v>152665763</v>
      </c>
      <c r="D5" s="15" t="n">
        <v>6335000</v>
      </c>
      <c r="E5" s="15" t="n">
        <v>1895000</v>
      </c>
      <c r="F5" s="16" t="n">
        <f aca="false">IF($C5="","",C5+D5+E5)</f>
        <v>160895763</v>
      </c>
      <c r="G5" s="15" t="n">
        <v>76665182</v>
      </c>
      <c r="H5" s="15" t="n">
        <v>26508000</v>
      </c>
      <c r="I5" s="15" t="n">
        <v>1709000</v>
      </c>
      <c r="J5" s="15" t="n">
        <v>12579210</v>
      </c>
      <c r="K5" s="15" t="n">
        <v>14032640</v>
      </c>
      <c r="L5" s="15" t="n">
        <v>0</v>
      </c>
      <c r="M5" s="15" t="n">
        <v>1646000</v>
      </c>
      <c r="N5" s="15" t="n">
        <v>6200000</v>
      </c>
      <c r="O5" s="15" t="n">
        <v>600000</v>
      </c>
      <c r="P5" s="15" t="n">
        <v>0</v>
      </c>
      <c r="Q5" s="15"/>
      <c r="R5" s="16" t="n">
        <f aca="false">IF($C5="","",SUM(G5:Q5))</f>
        <v>139940032</v>
      </c>
      <c r="S5" s="16" t="n">
        <f aca="false">IF($C5="","",F5-R5)</f>
        <v>20955731</v>
      </c>
      <c r="T5" s="17" t="n">
        <f aca="false">IF($C5="","",IF(F5=0,0,S5/F5))</f>
        <v>0.130244144465134</v>
      </c>
      <c r="U5" s="17" t="n">
        <f aca="false">IF($C5="","",IF(C5=0,0,G5/C5))</f>
        <v>0.502176653713773</v>
      </c>
      <c r="V5" s="17" t="n">
        <f aca="false">IF($C5="","",IF(C5=0,0,H5/C5))</f>
        <v>0.173634215551001</v>
      </c>
      <c r="W5" s="17" t="n">
        <f aca="false">IF($C5="","",IF(C5=0,0,K5/C5))</f>
        <v>0.0919173999739549</v>
      </c>
      <c r="X5" s="17" t="n">
        <f aca="false">IF($C5="","",IF(C5=0,0,J5/C5))</f>
        <v>0.0823970597782294</v>
      </c>
      <c r="Y5" s="16" t="n">
        <f aca="false">IF($C5="","",(R5-J5-D5-E5)/(1-X5))</f>
        <v>129828291.495239</v>
      </c>
      <c r="Z5" s="16" t="n">
        <f aca="false">IF($C5="","",S5*'Thiết lập'!$B$3)</f>
        <v>8382292.4</v>
      </c>
      <c r="AA5" s="16" t="n">
        <f aca="false">IF($C5="","",S5*'Thiết lập'!$B$4)</f>
        <v>6286719.3</v>
      </c>
      <c r="AB5" s="16" t="n">
        <f aca="false">IF($C5="","",S5*'Thiết lập'!$B$5)</f>
        <v>6286719.3</v>
      </c>
      <c r="AC5" s="16" t="n">
        <f aca="false">IF($C5="","",IF(Q5&gt;0,S5,S5-C5*'Thiết lập'!$B$9))</f>
        <v>10269127.59</v>
      </c>
      <c r="AD5" s="15" t="n">
        <v>20955731</v>
      </c>
      <c r="AE5" s="16" t="n">
        <f aca="false">IF(OR($C5="",AD5=""),"",S5-AD5)</f>
        <v>0</v>
      </c>
      <c r="AF5" s="18"/>
    </row>
    <row r="6" customFormat="false" ht="15" hidden="false" customHeight="false" outlineLevel="0" collapsed="false">
      <c r="A6" s="14" t="s">
        <v>82</v>
      </c>
      <c r="B6" s="14" t="s">
        <v>77</v>
      </c>
      <c r="C6" s="15" t="n">
        <v>165143550</v>
      </c>
      <c r="D6" s="15" t="n">
        <v>6451663</v>
      </c>
      <c r="E6" s="15" t="n">
        <v>6004000</v>
      </c>
      <c r="F6" s="16" t="n">
        <f aca="false">IF($C6="","",C6+D6+E6)</f>
        <v>177599213</v>
      </c>
      <c r="G6" s="15" t="n">
        <v>82908472</v>
      </c>
      <c r="H6" s="15" t="n">
        <v>26173000</v>
      </c>
      <c r="I6" s="15" t="n">
        <v>0</v>
      </c>
      <c r="J6" s="15" t="n">
        <v>7309000</v>
      </c>
      <c r="K6" s="15" t="n">
        <v>14218994</v>
      </c>
      <c r="L6" s="15" t="n">
        <v>0</v>
      </c>
      <c r="M6" s="15" t="n">
        <v>1196000</v>
      </c>
      <c r="N6" s="15" t="n">
        <v>6200000</v>
      </c>
      <c r="O6" s="15" t="n">
        <v>0</v>
      </c>
      <c r="P6" s="15" t="n">
        <v>0</v>
      </c>
      <c r="Q6" s="15"/>
      <c r="R6" s="16" t="n">
        <f aca="false">IF($C6="","",SUM(G6:Q6))</f>
        <v>138005466</v>
      </c>
      <c r="S6" s="16" t="n">
        <f aca="false">IF($C6="","",F6-R6)</f>
        <v>39593747</v>
      </c>
      <c r="T6" s="17" t="n">
        <f aca="false">IF($C6="","",IF(F6=0,0,S6/F6))</f>
        <v>0.22293875254954</v>
      </c>
      <c r="U6" s="17" t="n">
        <f aca="false">IF($C6="","",IF(C6=0,0,G6/C6))</f>
        <v>0.502038814110512</v>
      </c>
      <c r="V6" s="17" t="n">
        <f aca="false">IF($C6="","",IF(C6=0,0,H6/C6))</f>
        <v>0.158486359291659</v>
      </c>
      <c r="W6" s="17" t="n">
        <f aca="false">IF($C6="","",IF(C6=0,0,K6/C6))</f>
        <v>0.0861008135043724</v>
      </c>
      <c r="X6" s="17" t="n">
        <f aca="false">IF($C6="","",IF(C6=0,0,J6/C6))</f>
        <v>0.0442584648325654</v>
      </c>
      <c r="Y6" s="16" t="n">
        <f aca="false">IF($C6="","",(R6-J6-D6-E6)/(1-X6))</f>
        <v>123716296.351278</v>
      </c>
      <c r="Z6" s="16" t="n">
        <f aca="false">IF($C6="","",S6*'Thiết lập'!$B$3)</f>
        <v>15837498.8</v>
      </c>
      <c r="AA6" s="16" t="n">
        <f aca="false">IF($C6="","",S6*'Thiết lập'!$B$4)</f>
        <v>11878124.1</v>
      </c>
      <c r="AB6" s="16" t="n">
        <f aca="false">IF($C6="","",S6*'Thiết lập'!$B$5)</f>
        <v>11878124.1</v>
      </c>
      <c r="AC6" s="16" t="n">
        <f aca="false">IF($C6="","",IF(Q6&gt;0,S6,S6-C6*'Thiết lập'!$B$9))</f>
        <v>28033698.5</v>
      </c>
      <c r="AD6" s="15" t="n">
        <v>39593747</v>
      </c>
      <c r="AE6" s="16" t="n">
        <f aca="false">IF(OR($C6="",AD6=""),"",S6-AD6)</f>
        <v>0</v>
      </c>
      <c r="AF6" s="18"/>
    </row>
    <row r="7" customFormat="false" ht="15" hidden="false" customHeight="false" outlineLevel="0" collapsed="false">
      <c r="A7" s="14" t="s">
        <v>83</v>
      </c>
      <c r="B7" s="14" t="s">
        <v>77</v>
      </c>
      <c r="C7" s="15" t="n">
        <v>154475000</v>
      </c>
      <c r="D7" s="15" t="n">
        <v>6478526</v>
      </c>
      <c r="E7" s="15" t="n">
        <v>7039000</v>
      </c>
      <c r="F7" s="16" t="n">
        <f aca="false">IF($C7="","",C7+D7+E7)</f>
        <v>167992526</v>
      </c>
      <c r="G7" s="15" t="n">
        <v>81728708</v>
      </c>
      <c r="H7" s="15" t="n">
        <v>23406000</v>
      </c>
      <c r="I7" s="15" t="n">
        <v>0</v>
      </c>
      <c r="J7" s="15" t="n">
        <v>6931000</v>
      </c>
      <c r="K7" s="15" t="n">
        <v>13947142</v>
      </c>
      <c r="L7" s="15" t="n">
        <v>0</v>
      </c>
      <c r="M7" s="15" t="n">
        <v>0</v>
      </c>
      <c r="N7" s="15" t="n">
        <v>6200000</v>
      </c>
      <c r="O7" s="15" t="n">
        <v>0</v>
      </c>
      <c r="P7" s="15" t="n">
        <v>3000000</v>
      </c>
      <c r="Q7" s="15"/>
      <c r="R7" s="16" t="n">
        <f aca="false">IF($C7="","",SUM(G7:Q7))</f>
        <v>135212850</v>
      </c>
      <c r="S7" s="16" t="n">
        <f aca="false">IF($C7="","",F7-R7)</f>
        <v>32779676</v>
      </c>
      <c r="T7" s="17" t="n">
        <f aca="false">IF($C7="","",IF(F7=0,0,S7/F7))</f>
        <v>0.195125799822785</v>
      </c>
      <c r="U7" s="17" t="n">
        <f aca="false">IF($C7="","",IF(C7=0,0,G7/C7))</f>
        <v>0.529074011976048</v>
      </c>
      <c r="V7" s="17" t="n">
        <f aca="false">IF($C7="","",IF(C7=0,0,H7/C7))</f>
        <v>0.151519663375951</v>
      </c>
      <c r="W7" s="17" t="n">
        <f aca="false">IF($C7="","",IF(C7=0,0,K7/C7))</f>
        <v>0.0902873733613853</v>
      </c>
      <c r="X7" s="17" t="n">
        <f aca="false">IF($C7="","",IF(C7=0,0,J7/C7))</f>
        <v>0.0448681016345687</v>
      </c>
      <c r="Y7" s="16" t="n">
        <f aca="false">IF($C7="","",(R7-J7-D7-E7)/(1-X7))</f>
        <v>120155471.926341</v>
      </c>
      <c r="Z7" s="16" t="n">
        <f aca="false">IF($C7="","",S7*'Thiết lập'!$B$3)</f>
        <v>13111870.4</v>
      </c>
      <c r="AA7" s="16" t="n">
        <f aca="false">IF($C7="","",S7*'Thiết lập'!$B$4)</f>
        <v>9833902.8</v>
      </c>
      <c r="AB7" s="16" t="n">
        <f aca="false">IF($C7="","",S7*'Thiết lập'!$B$5)</f>
        <v>9833902.8</v>
      </c>
      <c r="AC7" s="16" t="n">
        <f aca="false">IF($C7="","",IF(Q7&gt;0,S7,S7-C7*'Thiết lập'!$B$9))</f>
        <v>21966426</v>
      </c>
      <c r="AD7" s="15" t="n">
        <v>32779676</v>
      </c>
      <c r="AE7" s="16" t="n">
        <f aca="false">IF(OR($C7="",AD7=""),"",S7-AD7)</f>
        <v>0</v>
      </c>
      <c r="AF7" s="18" t="s">
        <v>84</v>
      </c>
    </row>
    <row r="8" customFormat="false" ht="15" hidden="false" customHeight="false" outlineLevel="0" collapsed="false">
      <c r="A8" s="14" t="s">
        <v>85</v>
      </c>
      <c r="B8" s="14" t="s">
        <v>77</v>
      </c>
      <c r="C8" s="15" t="n">
        <v>149488483</v>
      </c>
      <c r="D8" s="15" t="n">
        <v>4707000</v>
      </c>
      <c r="E8" s="15" t="n">
        <v>3718000</v>
      </c>
      <c r="F8" s="16" t="n">
        <f aca="false">IF($C8="","",C8+D8+E8)</f>
        <v>157913483</v>
      </c>
      <c r="G8" s="15" t="n">
        <v>86161129</v>
      </c>
      <c r="H8" s="15" t="n">
        <v>23566000</v>
      </c>
      <c r="I8" s="15" t="n">
        <v>790000</v>
      </c>
      <c r="J8" s="15" t="n">
        <v>5826000</v>
      </c>
      <c r="K8" s="15" t="n">
        <v>14244829</v>
      </c>
      <c r="L8" s="15" t="n">
        <v>0</v>
      </c>
      <c r="M8" s="15" t="n">
        <v>0</v>
      </c>
      <c r="N8" s="15" t="n">
        <v>6200000</v>
      </c>
      <c r="O8" s="15" t="n">
        <v>1050000</v>
      </c>
      <c r="P8" s="15" t="n">
        <v>0</v>
      </c>
      <c r="Q8" s="15"/>
      <c r="R8" s="16" t="n">
        <f aca="false">IF($C8="","",SUM(G8:Q8))</f>
        <v>137837958</v>
      </c>
      <c r="S8" s="16" t="n">
        <f aca="false">IF($C8="","",F8-R8)</f>
        <v>20075525</v>
      </c>
      <c r="T8" s="17" t="n">
        <f aca="false">IF($C8="","",IF(F8=0,0,S8/F8))</f>
        <v>0.127129898084763</v>
      </c>
      <c r="U8" s="17" t="n">
        <f aca="false">IF($C8="","",IF(C8=0,0,G8/C8))</f>
        <v>0.576373024000785</v>
      </c>
      <c r="V8" s="17" t="n">
        <f aca="false">IF($C8="","",IF(C8=0,0,H8/C8))</f>
        <v>0.157644251430393</v>
      </c>
      <c r="W8" s="17" t="n">
        <f aca="false">IF($C8="","",IF(C8=0,0,K8/C8))</f>
        <v>0.0952904779962213</v>
      </c>
      <c r="X8" s="17" t="n">
        <f aca="false">IF($C8="","",IF(C8=0,0,J8/C8))</f>
        <v>0.0389729020127925</v>
      </c>
      <c r="Y8" s="16" t="n">
        <f aca="false">IF($C8="","",(R8-J8-D8-E8)/(1-X8))</f>
        <v>128598827.503244</v>
      </c>
      <c r="Z8" s="16" t="n">
        <f aca="false">IF($C8="","",S8*'Thiết lập'!$B$3)</f>
        <v>8030210</v>
      </c>
      <c r="AA8" s="16" t="n">
        <f aca="false">IF($C8="","",S8*'Thiết lập'!$B$4)</f>
        <v>6022657.5</v>
      </c>
      <c r="AB8" s="16" t="n">
        <f aca="false">IF($C8="","",S8*'Thiết lập'!$B$5)</f>
        <v>6022657.5</v>
      </c>
      <c r="AC8" s="16" t="n">
        <f aca="false">IF($C8="","",IF(Q8&gt;0,S8,S8-C8*'Thiết lập'!$B$9))</f>
        <v>9611331.19</v>
      </c>
      <c r="AD8" s="15" t="n">
        <v>20075525</v>
      </c>
      <c r="AE8" s="16" t="n">
        <f aca="false">IF(OR($C8="",AD8=""),"",S8-AD8)</f>
        <v>0</v>
      </c>
      <c r="AF8" s="18" t="s">
        <v>86</v>
      </c>
    </row>
    <row r="9" customFormat="false" ht="15" hidden="false" customHeight="false" outlineLevel="0" collapsed="false">
      <c r="A9" s="14" t="s">
        <v>87</v>
      </c>
      <c r="B9" s="14" t="s">
        <v>88</v>
      </c>
      <c r="C9" s="15" t="n">
        <v>249143000</v>
      </c>
      <c r="D9" s="15" t="n">
        <v>5048188</v>
      </c>
      <c r="E9" s="15" t="n">
        <v>14999000</v>
      </c>
      <c r="F9" s="16" t="n">
        <f aca="false">IF($C9="","",C9+D9+E9)</f>
        <v>269190188</v>
      </c>
      <c r="G9" s="15" t="n">
        <v>137226629</v>
      </c>
      <c r="H9" s="15" t="n">
        <v>23566000</v>
      </c>
      <c r="I9" s="15" t="n">
        <v>0</v>
      </c>
      <c r="J9" s="15" t="n">
        <v>5061000</v>
      </c>
      <c r="K9" s="15" t="n">
        <v>13197266</v>
      </c>
      <c r="L9" s="15" t="n">
        <v>0</v>
      </c>
      <c r="M9" s="15" t="n">
        <v>0</v>
      </c>
      <c r="N9" s="15" t="n">
        <v>6200000</v>
      </c>
      <c r="O9" s="15" t="n">
        <v>0</v>
      </c>
      <c r="P9" s="15" t="n">
        <v>0</v>
      </c>
      <c r="Q9" s="15"/>
      <c r="R9" s="16" t="n">
        <f aca="false">IF($C9="","",SUM(G9:Q9))</f>
        <v>185250895</v>
      </c>
      <c r="S9" s="16" t="n">
        <f aca="false">IF($C9="","",F9-R9)</f>
        <v>83939293</v>
      </c>
      <c r="T9" s="17" t="n">
        <f aca="false">IF($C9="","",IF(F9=0,0,S9/F9))</f>
        <v>0.311821517803613</v>
      </c>
      <c r="U9" s="17" t="n">
        <f aca="false">IF($C9="","",IF(C9=0,0,G9/C9))</f>
        <v>0.550794640026009</v>
      </c>
      <c r="V9" s="17" t="n">
        <f aca="false">IF($C9="","",IF(C9=0,0,H9/C9))</f>
        <v>0.0945882485159126</v>
      </c>
      <c r="W9" s="17" t="n">
        <f aca="false">IF($C9="","",IF(C9=0,0,K9/C9))</f>
        <v>0.052970647379216</v>
      </c>
      <c r="X9" s="17" t="n">
        <f aca="false">IF($C9="","",IF(C9=0,0,J9/C9))</f>
        <v>0.0203136351412643</v>
      </c>
      <c r="Y9" s="16" t="n">
        <f aca="false">IF($C9="","",(R9-J9-D9-E9)/(1-X9))</f>
        <v>163463239.608414</v>
      </c>
      <c r="Z9" s="16" t="n">
        <f aca="false">IF($C9="","",S9*'Thiết lập'!$B$3)</f>
        <v>33575717.2</v>
      </c>
      <c r="AA9" s="16" t="n">
        <f aca="false">IF($C9="","",S9*'Thiết lập'!$B$4)</f>
        <v>25181787.9</v>
      </c>
      <c r="AB9" s="16" t="n">
        <f aca="false">IF($C9="","",S9*'Thiết lập'!$B$5)</f>
        <v>25181787.9</v>
      </c>
      <c r="AC9" s="16" t="n">
        <f aca="false">IF($C9="","",IF(Q9&gt;0,S9,S9-C9*'Thiết lập'!$B$9))</f>
        <v>66499283</v>
      </c>
      <c r="AD9" s="15" t="n">
        <v>83939293</v>
      </c>
      <c r="AE9" s="16" t="n">
        <f aca="false">IF(OR($C9="",AD9=""),"",S9-AD9)</f>
        <v>0</v>
      </c>
      <c r="AF9" s="18" t="s">
        <v>89</v>
      </c>
    </row>
    <row r="10" customFormat="false" ht="15" hidden="false" customHeight="false" outlineLevel="0" collapsed="false">
      <c r="A10" s="14" t="s">
        <v>90</v>
      </c>
      <c r="B10" s="14" t="s">
        <v>77</v>
      </c>
      <c r="C10" s="15" t="n">
        <v>144376277</v>
      </c>
      <c r="D10" s="15" t="n">
        <v>4450040</v>
      </c>
      <c r="E10" s="15" t="n">
        <v>5706000</v>
      </c>
      <c r="F10" s="16" t="n">
        <f aca="false">IF($C10="","",C10+D10+E10)</f>
        <v>154532317</v>
      </c>
      <c r="G10" s="15" t="n">
        <v>78250158</v>
      </c>
      <c r="H10" s="15" t="n">
        <v>23010000</v>
      </c>
      <c r="I10" s="15" t="n">
        <v>1140000</v>
      </c>
      <c r="J10" s="15" t="n">
        <v>3572850</v>
      </c>
      <c r="K10" s="15" t="n">
        <v>15048770</v>
      </c>
      <c r="L10" s="15" t="n">
        <v>0</v>
      </c>
      <c r="M10" s="15" t="n">
        <v>0</v>
      </c>
      <c r="N10" s="15" t="n">
        <v>6200000</v>
      </c>
      <c r="O10" s="15" t="n">
        <v>0</v>
      </c>
      <c r="P10" s="15" t="n">
        <v>0</v>
      </c>
      <c r="Q10" s="15"/>
      <c r="R10" s="16" t="n">
        <f aca="false">IF($C10="","",SUM(G10:Q10))</f>
        <v>127221778</v>
      </c>
      <c r="S10" s="16" t="n">
        <f aca="false">IF($C10="","",F10-R10)</f>
        <v>27310539</v>
      </c>
      <c r="T10" s="17" t="n">
        <f aca="false">IF($C10="","",IF(F10=0,0,S10/F10))</f>
        <v>0.176730275777849</v>
      </c>
      <c r="U10" s="17" t="n">
        <f aca="false">IF($C10="","",IF(C10=0,0,G10/C10))</f>
        <v>0.541987642471207</v>
      </c>
      <c r="V10" s="17" t="n">
        <f aca="false">IF($C10="","",IF(C10=0,0,H10/C10))</f>
        <v>0.159375213699409</v>
      </c>
      <c r="W10" s="17" t="n">
        <f aca="false">IF($C10="","",IF(C10=0,0,K10/C10))</f>
        <v>0.104232982818916</v>
      </c>
      <c r="X10" s="17" t="n">
        <f aca="false">IF($C10="","",IF(C10=0,0,J10/C10))</f>
        <v>0.0247467941010835</v>
      </c>
      <c r="Y10" s="16" t="n">
        <f aca="false">IF($C10="","",(R10-J10-D10-E10)/(1-X10))</f>
        <v>116372740.241741</v>
      </c>
      <c r="Z10" s="16" t="n">
        <f aca="false">IF($C10="","",S10*'Thiết lập'!$B$3)</f>
        <v>10924215.6</v>
      </c>
      <c r="AA10" s="16" t="n">
        <f aca="false">IF($C10="","",S10*'Thiết lập'!$B$4)</f>
        <v>8193161.7</v>
      </c>
      <c r="AB10" s="16" t="n">
        <f aca="false">IF($C10="","",S10*'Thiết lập'!$B$5)</f>
        <v>8193161.7</v>
      </c>
      <c r="AC10" s="16" t="n">
        <f aca="false">IF($C10="","",IF(Q10&gt;0,S10,S10-C10*'Thiết lập'!$B$9))</f>
        <v>17204199.61</v>
      </c>
      <c r="AD10" s="15" t="n">
        <v>27310539</v>
      </c>
      <c r="AE10" s="16" t="n">
        <f aca="false">IF(OR($C10="",AD10=""),"",S10-AD10)</f>
        <v>0</v>
      </c>
      <c r="AF10" s="18"/>
    </row>
    <row r="11" customFormat="false" ht="15" hidden="false" customHeight="false" outlineLevel="0" collapsed="false">
      <c r="A11" s="14" t="s">
        <v>91</v>
      </c>
      <c r="B11" s="14" t="s">
        <v>77</v>
      </c>
      <c r="C11" s="15" t="n">
        <v>141028000</v>
      </c>
      <c r="D11" s="15" t="n">
        <v>4130497</v>
      </c>
      <c r="E11" s="15" t="n">
        <v>4666000</v>
      </c>
      <c r="F11" s="16" t="n">
        <f aca="false">IF($C11="","",C11+D11+E11)</f>
        <v>149824497</v>
      </c>
      <c r="G11" s="15" t="n">
        <v>84081946</v>
      </c>
      <c r="H11" s="15" t="n">
        <v>23566000</v>
      </c>
      <c r="I11" s="15" t="n">
        <v>130000</v>
      </c>
      <c r="J11" s="15" t="n">
        <v>3896000</v>
      </c>
      <c r="K11" s="15" t="n">
        <v>13857242</v>
      </c>
      <c r="L11" s="15" t="n">
        <v>0</v>
      </c>
      <c r="M11" s="15" t="n">
        <v>303000</v>
      </c>
      <c r="N11" s="15" t="n">
        <v>6200000</v>
      </c>
      <c r="O11" s="15" t="n">
        <v>0</v>
      </c>
      <c r="P11" s="15" t="n">
        <v>0</v>
      </c>
      <c r="Q11" s="15"/>
      <c r="R11" s="16" t="n">
        <f aca="false">IF($C11="","",SUM(G11:Q11))</f>
        <v>132034188</v>
      </c>
      <c r="S11" s="16" t="n">
        <f aca="false">IF($C11="","",F11-R11)</f>
        <v>17790309</v>
      </c>
      <c r="T11" s="17" t="n">
        <f aca="false">IF($C11="","",IF(F11=0,0,S11/F11))</f>
        <v>0.118740989332339</v>
      </c>
      <c r="U11" s="17" t="n">
        <f aca="false">IF($C11="","",IF(C11=0,0,G11/C11))</f>
        <v>0.596207462347903</v>
      </c>
      <c r="V11" s="17" t="n">
        <f aca="false">IF($C11="","",IF(C11=0,0,H11/C11))</f>
        <v>0.167101568482854</v>
      </c>
      <c r="W11" s="17" t="n">
        <f aca="false">IF($C11="","",IF(C11=0,0,K11/C11))</f>
        <v>0.0982587996709873</v>
      </c>
      <c r="X11" s="17" t="n">
        <f aca="false">IF($C11="","",IF(C11=0,0,J11/C11))</f>
        <v>0.0276257197152339</v>
      </c>
      <c r="Y11" s="16" t="n">
        <f aca="false">IF($C11="","",(R11-J11-D11-E11)/(1-X11))</f>
        <v>122732257.958376</v>
      </c>
      <c r="Z11" s="16" t="n">
        <f aca="false">IF($C11="","",S11*'Thiết lập'!$B$3)</f>
        <v>7116123.6</v>
      </c>
      <c r="AA11" s="16" t="n">
        <f aca="false">IF($C11="","",S11*'Thiết lập'!$B$4)</f>
        <v>5337092.7</v>
      </c>
      <c r="AB11" s="16" t="n">
        <f aca="false">IF($C11="","",S11*'Thiết lập'!$B$5)</f>
        <v>5337092.7</v>
      </c>
      <c r="AC11" s="16" t="n">
        <f aca="false">IF($C11="","",IF(Q11&gt;0,S11,S11-C11*'Thiết lập'!$B$9))</f>
        <v>7918349</v>
      </c>
      <c r="AD11" s="15" t="n">
        <v>17790309</v>
      </c>
      <c r="AE11" s="16" t="n">
        <f aca="false">IF(OR($C11="",AD11=""),"",S11-AD11)</f>
        <v>0</v>
      </c>
      <c r="AF11" s="18"/>
    </row>
    <row r="12" customFormat="false" ht="15" hidden="false" customHeight="false" outlineLevel="0" collapsed="false">
      <c r="A12" s="14" t="s">
        <v>92</v>
      </c>
      <c r="B12" s="14" t="s">
        <v>77</v>
      </c>
      <c r="C12" s="15" t="n">
        <v>143858561</v>
      </c>
      <c r="D12" s="15" t="n">
        <v>5052339</v>
      </c>
      <c r="E12" s="15" t="n">
        <v>4631000</v>
      </c>
      <c r="F12" s="16" t="n">
        <f aca="false">IF($C12="","",C12+D12+E12)</f>
        <v>153541900</v>
      </c>
      <c r="G12" s="15" t="n">
        <v>75330643</v>
      </c>
      <c r="H12" s="15" t="n">
        <v>24093000</v>
      </c>
      <c r="I12" s="15" t="n">
        <v>130000</v>
      </c>
      <c r="J12" s="15" t="n">
        <v>10737554</v>
      </c>
      <c r="K12" s="15" t="n">
        <v>16291806</v>
      </c>
      <c r="L12" s="15" t="n">
        <v>0</v>
      </c>
      <c r="M12" s="15" t="n">
        <v>0</v>
      </c>
      <c r="N12" s="15" t="n">
        <v>6200000</v>
      </c>
      <c r="O12" s="15" t="n">
        <v>0</v>
      </c>
      <c r="P12" s="15" t="n">
        <v>0</v>
      </c>
      <c r="Q12" s="15"/>
      <c r="R12" s="16" t="n">
        <f aca="false">IF($C12="","",SUM(G12:Q12))</f>
        <v>132783003</v>
      </c>
      <c r="S12" s="16" t="n">
        <f aca="false">IF($C12="","",F12-R12)</f>
        <v>20758897</v>
      </c>
      <c r="T12" s="17" t="n">
        <f aca="false">IF($C12="","",IF(F12=0,0,S12/F12))</f>
        <v>0.135200209193712</v>
      </c>
      <c r="U12" s="17" t="n">
        <f aca="false">IF($C12="","",IF(C12=0,0,G12/C12))</f>
        <v>0.523643796214533</v>
      </c>
      <c r="V12" s="17" t="n">
        <f aca="false">IF($C12="","",IF(C12=0,0,H12/C12))</f>
        <v>0.16747699846657</v>
      </c>
      <c r="W12" s="17" t="n">
        <f aca="false">IF($C12="","",IF(C12=0,0,K12/C12))</f>
        <v>0.113248776344982</v>
      </c>
      <c r="X12" s="17" t="n">
        <f aca="false">IF($C12="","",IF(C12=0,0,J12/C12))</f>
        <v>0.0746396594360484</v>
      </c>
      <c r="Y12" s="16" t="n">
        <f aca="false">IF($C12="","",(R12-J12-D12-E12)/(1-X12))</f>
        <v>121425249.251035</v>
      </c>
      <c r="Z12" s="16" t="n">
        <f aca="false">IF($C12="","",S12*'Thiết lập'!$B$3)</f>
        <v>8303558.8</v>
      </c>
      <c r="AA12" s="16" t="n">
        <f aca="false">IF($C12="","",S12*'Thiết lập'!$B$4)</f>
        <v>6227669.1</v>
      </c>
      <c r="AB12" s="16" t="n">
        <f aca="false">IF($C12="","",S12*'Thiết lập'!$B$5)</f>
        <v>6227669.1</v>
      </c>
      <c r="AC12" s="16" t="n">
        <f aca="false">IF($C12="","",IF(Q12&gt;0,S12,S12-C12*'Thiết lập'!$B$9))</f>
        <v>10688797.73</v>
      </c>
      <c r="AD12" s="15" t="n">
        <v>20758897</v>
      </c>
      <c r="AE12" s="16" t="n">
        <f aca="false">IF(OR($C12="",AD12=""),"",S12-AD12)</f>
        <v>0</v>
      </c>
      <c r="AF12" s="18"/>
    </row>
    <row r="13" customFormat="false" ht="15" hidden="false" customHeight="false" outlineLevel="0" collapsed="false">
      <c r="A13" s="14" t="s">
        <v>93</v>
      </c>
      <c r="B13" s="14" t="s">
        <v>77</v>
      </c>
      <c r="C13" s="15" t="n">
        <v>145698349</v>
      </c>
      <c r="D13" s="15" t="n">
        <v>4816701</v>
      </c>
      <c r="E13" s="15" t="n">
        <v>3466000</v>
      </c>
      <c r="F13" s="16" t="n">
        <f aca="false">IF($C13="","",C13+D13+E13)</f>
        <v>153981050</v>
      </c>
      <c r="G13" s="15" t="n">
        <v>78101380</v>
      </c>
      <c r="H13" s="15" t="n">
        <v>23098000</v>
      </c>
      <c r="I13" s="15" t="n">
        <v>460000</v>
      </c>
      <c r="J13" s="15" t="n">
        <v>8759000</v>
      </c>
      <c r="K13" s="15" t="n">
        <v>15088750</v>
      </c>
      <c r="L13" s="15" t="n">
        <v>0</v>
      </c>
      <c r="M13" s="15" t="n">
        <v>0</v>
      </c>
      <c r="N13" s="15" t="n">
        <v>6200000</v>
      </c>
      <c r="O13" s="15" t="n">
        <v>0</v>
      </c>
      <c r="P13" s="15" t="n">
        <v>0</v>
      </c>
      <c r="Q13" s="15"/>
      <c r="R13" s="16" t="n">
        <f aca="false">IF($C13="","",SUM(G13:Q13))</f>
        <v>131707130</v>
      </c>
      <c r="S13" s="16" t="n">
        <f aca="false">IF($C13="","",F13-R13)</f>
        <v>22273920</v>
      </c>
      <c r="T13" s="17" t="n">
        <f aca="false">IF($C13="","",IF(F13=0,0,S13/F13))</f>
        <v>0.14465364406854</v>
      </c>
      <c r="U13" s="17" t="n">
        <f aca="false">IF($C13="","",IF(C13=0,0,G13/C13))</f>
        <v>0.536048490158252</v>
      </c>
      <c r="V13" s="17" t="n">
        <f aca="false">IF($C13="","",IF(C13=0,0,H13/C13))</f>
        <v>0.158533024969281</v>
      </c>
      <c r="W13" s="17" t="n">
        <f aca="false">IF($C13="","",IF(C13=0,0,K13/C13))</f>
        <v>0.103561571586511</v>
      </c>
      <c r="X13" s="17" t="n">
        <f aca="false">IF($C13="","",IF(C13=0,0,J13/C13))</f>
        <v>0.0601173593257395</v>
      </c>
      <c r="Y13" s="16" t="n">
        <f aca="false">IF($C13="","",(R13-J13-D13-E13)/(1-X13))</f>
        <v>121999730.644818</v>
      </c>
      <c r="Z13" s="16" t="n">
        <f aca="false">IF($C13="","",S13*'Thiết lập'!$B$3)</f>
        <v>8909568</v>
      </c>
      <c r="AA13" s="16" t="n">
        <f aca="false">IF($C13="","",S13*'Thiết lập'!$B$4)</f>
        <v>6682176</v>
      </c>
      <c r="AB13" s="16" t="n">
        <f aca="false">IF($C13="","",S13*'Thiết lập'!$B$5)</f>
        <v>6682176</v>
      </c>
      <c r="AC13" s="16" t="n">
        <f aca="false">IF($C13="","",IF(Q13&gt;0,S13,S13-C13*'Thiết lập'!$B$9))</f>
        <v>12075035.57</v>
      </c>
      <c r="AD13" s="15" t="n">
        <v>22273920</v>
      </c>
      <c r="AE13" s="16" t="n">
        <f aca="false">IF(OR($C13="",AD13=""),"",S13-AD13)</f>
        <v>0</v>
      </c>
      <c r="AF13" s="18"/>
    </row>
    <row r="14" customFormat="false" ht="26.85" hidden="false" customHeight="false" outlineLevel="0" collapsed="false">
      <c r="A14" s="14" t="s">
        <v>94</v>
      </c>
      <c r="B14" s="14" t="s">
        <v>77</v>
      </c>
      <c r="C14" s="15" t="n">
        <v>151043493</v>
      </c>
      <c r="D14" s="15" t="n">
        <v>3924269</v>
      </c>
      <c r="E14" s="15" t="n">
        <v>1000000</v>
      </c>
      <c r="F14" s="16" t="n">
        <f aca="false">IF($C14="","",C14+D14+E14)</f>
        <v>155967762</v>
      </c>
      <c r="G14" s="15" t="n">
        <v>78644287</v>
      </c>
      <c r="H14" s="15" t="n">
        <v>23186000</v>
      </c>
      <c r="I14" s="15" t="n">
        <v>0</v>
      </c>
      <c r="J14" s="15" t="n">
        <v>4883000</v>
      </c>
      <c r="K14" s="15" t="n">
        <v>14251176</v>
      </c>
      <c r="L14" s="15" t="n">
        <v>0</v>
      </c>
      <c r="M14" s="15" t="n">
        <v>0</v>
      </c>
      <c r="N14" s="15" t="n">
        <v>6200000</v>
      </c>
      <c r="O14" s="15" t="n">
        <v>0</v>
      </c>
      <c r="P14" s="15" t="n">
        <v>0</v>
      </c>
      <c r="Q14" s="15"/>
      <c r="R14" s="16" t="n">
        <f aca="false">IF($C14="","",SUM(G14:Q14))</f>
        <v>127164463</v>
      </c>
      <c r="S14" s="16" t="n">
        <f aca="false">IF($C14="","",F14-R14)</f>
        <v>28803299</v>
      </c>
      <c r="T14" s="17" t="n">
        <f aca="false">IF($C14="","",IF(F14=0,0,S14/F14))</f>
        <v>0.184674695787454</v>
      </c>
      <c r="U14" s="17" t="n">
        <f aca="false">IF($C14="","",IF(C14=0,0,G14/C14))</f>
        <v>0.520673121615375</v>
      </c>
      <c r="V14" s="17" t="n">
        <f aca="false">IF($C14="","",IF(C14=0,0,H14/C14))</f>
        <v>0.153505454220395</v>
      </c>
      <c r="W14" s="17" t="n">
        <f aca="false">IF($C14="","",IF(C14=0,0,K14/C14))</f>
        <v>0.094351472658276</v>
      </c>
      <c r="X14" s="17" t="n">
        <f aca="false">IF($C14="","",IF(C14=0,0,J14/C14))</f>
        <v>0.0323284366841278</v>
      </c>
      <c r="Y14" s="16" t="n">
        <f aca="false">IF($C14="","",(R14-J14-D14-E14)/(1-X14))</f>
        <v>121277919.543133</v>
      </c>
      <c r="Z14" s="16" t="n">
        <f aca="false">IF($C14="","",S14*'Thiết lập'!$B$3)</f>
        <v>11521319.6</v>
      </c>
      <c r="AA14" s="16" t="n">
        <f aca="false">IF($C14="","",S14*'Thiết lập'!$B$4)</f>
        <v>8640989.7</v>
      </c>
      <c r="AB14" s="16" t="n">
        <f aca="false">IF($C14="","",S14*'Thiết lập'!$B$5)</f>
        <v>8640989.7</v>
      </c>
      <c r="AC14" s="16" t="n">
        <f aca="false">IF($C14="","",IF(Q14&gt;0,S14,S14-C14*'Thiết lập'!$B$9))</f>
        <v>18230254.49</v>
      </c>
      <c r="AD14" s="15" t="n">
        <v>28803299</v>
      </c>
      <c r="AE14" s="16" t="n">
        <f aca="false">IF(OR($C14="",AD14=""),"",S14-AD14)</f>
        <v>0</v>
      </c>
      <c r="AF14" s="18" t="s">
        <v>95</v>
      </c>
    </row>
    <row r="15" customFormat="false" ht="26.85" hidden="false" customHeight="false" outlineLevel="0" collapsed="false">
      <c r="A15" s="14" t="s">
        <v>96</v>
      </c>
      <c r="B15" s="14" t="s">
        <v>77</v>
      </c>
      <c r="C15" s="15" t="n">
        <v>165122434</v>
      </c>
      <c r="D15" s="15" t="n">
        <v>2971910</v>
      </c>
      <c r="E15" s="15" t="n">
        <v>1369000</v>
      </c>
      <c r="F15" s="16" t="n">
        <f aca="false">IF($C15="","",C15+D15+E15)</f>
        <v>169463344</v>
      </c>
      <c r="G15" s="15" t="n">
        <v>85225303</v>
      </c>
      <c r="H15" s="15" t="n">
        <v>23888000</v>
      </c>
      <c r="I15" s="15" t="n">
        <v>500000</v>
      </c>
      <c r="J15" s="15" t="n">
        <v>3972500</v>
      </c>
      <c r="K15" s="15" t="n">
        <v>15697751</v>
      </c>
      <c r="L15" s="15" t="n">
        <v>0</v>
      </c>
      <c r="M15" s="15" t="n">
        <v>0</v>
      </c>
      <c r="N15" s="15" t="n">
        <v>6200000</v>
      </c>
      <c r="O15" s="15" t="n">
        <v>1400000</v>
      </c>
      <c r="P15" s="15" t="n">
        <v>0</v>
      </c>
      <c r="Q15" s="15"/>
      <c r="R15" s="16" t="n">
        <f aca="false">IF($C15="","",SUM(G15:Q15))</f>
        <v>136883554</v>
      </c>
      <c r="S15" s="16" t="n">
        <f aca="false">IF($C15="","",F15-R15)</f>
        <v>32579790</v>
      </c>
      <c r="T15" s="17" t="n">
        <f aca="false">IF($C15="","",IF(F15=0,0,S15/F15))</f>
        <v>0.192252726937809</v>
      </c>
      <c r="U15" s="17" t="n">
        <f aca="false">IF($C15="","",IF(C15=0,0,G15/C15))</f>
        <v>0.516134003935528</v>
      </c>
      <c r="V15" s="17" t="n">
        <f aca="false">IF($C15="","",IF(C15=0,0,H15/C15))</f>
        <v>0.144668410108344</v>
      </c>
      <c r="W15" s="17" t="n">
        <f aca="false">IF($C15="","",IF(C15=0,0,K15/C15))</f>
        <v>0.0950673425756309</v>
      </c>
      <c r="X15" s="17" t="n">
        <f aca="false">IF($C15="","",IF(C15=0,0,J15/C15))</f>
        <v>0.0240579060262641</v>
      </c>
      <c r="Y15" s="16" t="n">
        <f aca="false">IF($C15="","",(R15-J15-D15-E15)/(1-X15))</f>
        <v>131739521.016561</v>
      </c>
      <c r="Z15" s="16" t="n">
        <f aca="false">IF($C15="","",S15*'Thiết lập'!$B$3)</f>
        <v>13031916</v>
      </c>
      <c r="AA15" s="16" t="n">
        <f aca="false">IF($C15="","",S15*'Thiết lập'!$B$4)</f>
        <v>9773937</v>
      </c>
      <c r="AB15" s="16" t="n">
        <f aca="false">IF($C15="","",S15*'Thiết lập'!$B$5)</f>
        <v>9773937</v>
      </c>
      <c r="AC15" s="16" t="n">
        <f aca="false">IF($C15="","",IF(Q15&gt;0,S15,S15-C15*'Thiết lập'!$B$9))</f>
        <v>21021219.62</v>
      </c>
      <c r="AD15" s="15" t="n">
        <v>32579791</v>
      </c>
      <c r="AE15" s="16" t="n">
        <f aca="false">IF(OR($C15="",AD15=""),"",S15-AD15)</f>
        <v>-1</v>
      </c>
      <c r="AF15" s="18" t="s">
        <v>97</v>
      </c>
    </row>
    <row r="16" customFormat="false" ht="26.85" hidden="false" customHeight="false" outlineLevel="0" collapsed="false">
      <c r="A16" s="14" t="s">
        <v>98</v>
      </c>
      <c r="B16" s="14" t="s">
        <v>77</v>
      </c>
      <c r="C16" s="15" t="n">
        <v>143072787</v>
      </c>
      <c r="D16" s="15" t="n">
        <v>2029780</v>
      </c>
      <c r="E16" s="15" t="n">
        <v>1000000</v>
      </c>
      <c r="F16" s="16" t="n">
        <f aca="false">IF($C16="","",C16+D16+E16)</f>
        <v>146102567</v>
      </c>
      <c r="G16" s="15" t="n">
        <v>72641856</v>
      </c>
      <c r="H16" s="15" t="n">
        <v>22512373</v>
      </c>
      <c r="I16" s="15" t="n">
        <v>470000</v>
      </c>
      <c r="J16" s="15" t="n">
        <v>10190612</v>
      </c>
      <c r="K16" s="15" t="n">
        <v>14286562</v>
      </c>
      <c r="L16" s="15" t="n">
        <v>0</v>
      </c>
      <c r="M16" s="15" t="n">
        <v>0</v>
      </c>
      <c r="N16" s="15" t="n">
        <v>6893333</v>
      </c>
      <c r="O16" s="15" t="n">
        <v>0</v>
      </c>
      <c r="P16" s="15" t="n">
        <v>0</v>
      </c>
      <c r="Q16" s="15"/>
      <c r="R16" s="16" t="n">
        <f aca="false">IF($C16="","",SUM(G16:Q16))</f>
        <v>126994736</v>
      </c>
      <c r="S16" s="16" t="n">
        <f aca="false">IF($C16="","",F16-R16)</f>
        <v>19107831</v>
      </c>
      <c r="T16" s="17" t="n">
        <f aca="false">IF($C16="","",IF(F16=0,0,S16/F16))</f>
        <v>0.130783677469541</v>
      </c>
      <c r="U16" s="17" t="n">
        <f aca="false">IF($C16="","",IF(C16=0,0,G16/C16))</f>
        <v>0.507726574166756</v>
      </c>
      <c r="V16" s="17" t="n">
        <f aca="false">IF($C16="","",IF(C16=0,0,H16/C16))</f>
        <v>0.157349091130796</v>
      </c>
      <c r="W16" s="17" t="n">
        <f aca="false">IF($C16="","",IF(C16=0,0,K16/C16))</f>
        <v>0.0998552016743757</v>
      </c>
      <c r="X16" s="17" t="n">
        <f aca="false">IF($C16="","",IF(C16=0,0,J16/C16))</f>
        <v>0.0712267665548446</v>
      </c>
      <c r="Y16" s="16" t="n">
        <f aca="false">IF($C16="","",(R16-J16-D16-E16)/(1-X16))</f>
        <v>122499593.983743</v>
      </c>
      <c r="Z16" s="16" t="n">
        <f aca="false">IF($C16="","",S16*'Thiết lập'!$B$3)</f>
        <v>7643132.4</v>
      </c>
      <c r="AA16" s="16" t="n">
        <f aca="false">IF($C16="","",S16*'Thiết lập'!$B$4)</f>
        <v>5732349.3</v>
      </c>
      <c r="AB16" s="16" t="n">
        <f aca="false">IF($C16="","",S16*'Thiết lập'!$B$5)</f>
        <v>5732349.3</v>
      </c>
      <c r="AC16" s="16" t="n">
        <f aca="false">IF($C16="","",IF(Q16&gt;0,S16,S16-C16*'Thiết lập'!$B$9))</f>
        <v>9092735.91</v>
      </c>
      <c r="AD16" s="15" t="n">
        <v>19107831</v>
      </c>
      <c r="AE16" s="16" t="n">
        <f aca="false">IF(OR($C16="",AD16=""),"",S16-AD16)</f>
        <v>0</v>
      </c>
      <c r="AF16" s="18" t="s">
        <v>99</v>
      </c>
    </row>
    <row r="17" customFormat="false" ht="15" hidden="false" customHeight="false" outlineLevel="0" collapsed="false">
      <c r="A17" s="14" t="s">
        <v>100</v>
      </c>
      <c r="B17" s="14" t="s">
        <v>77</v>
      </c>
      <c r="C17" s="15"/>
      <c r="D17" s="15"/>
      <c r="E17" s="15"/>
      <c r="F17" s="16" t="str">
        <f aca="false">IF($C17="","",C17+D17+E17)</f>
        <v/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 t="str">
        <f aca="false">IF($C17="","",SUM(G17:Q17))</f>
        <v/>
      </c>
      <c r="S17" s="16" t="str">
        <f aca="false">IF($C17="","",F17-R17)</f>
        <v/>
      </c>
      <c r="T17" s="17" t="str">
        <f aca="false">IF($C17="","",IF(F17=0,0,S17/F17))</f>
        <v/>
      </c>
      <c r="U17" s="17" t="str">
        <f aca="false">IF($C17="","",IF(C17=0,0,G17/C17))</f>
        <v/>
      </c>
      <c r="V17" s="17" t="str">
        <f aca="false">IF($C17="","",IF(C17=0,0,H17/C17))</f>
        <v/>
      </c>
      <c r="W17" s="17" t="str">
        <f aca="false">IF($C17="","",IF(C17=0,0,K17/C17))</f>
        <v/>
      </c>
      <c r="X17" s="17" t="str">
        <f aca="false">IF($C17="","",IF(C17=0,0,J17/C17))</f>
        <v/>
      </c>
      <c r="Y17" s="16" t="str">
        <f aca="false">IF($C17="","",(R17-J17-D17-E17)/(1-X17))</f>
        <v/>
      </c>
      <c r="Z17" s="16" t="str">
        <f aca="false">IF($C17="","",S17*'Thiết lập'!$B$3)</f>
        <v/>
      </c>
      <c r="AA17" s="16" t="str">
        <f aca="false">IF($C17="","",S17*'Thiết lập'!$B$4)</f>
        <v/>
      </c>
      <c r="AB17" s="16" t="str">
        <f aca="false">IF($C17="","",S17*'Thiết lập'!$B$5)</f>
        <v/>
      </c>
      <c r="AC17" s="16" t="str">
        <f aca="false">IF($C17="","",IF(Q17&gt;0,S17,S17-C17*'Thiết lập'!$B$9))</f>
        <v/>
      </c>
      <c r="AD17" s="15"/>
      <c r="AE17" s="16" t="str">
        <f aca="false">IF(OR($C17="",AD17=""),"",S17-AD17)</f>
        <v/>
      </c>
      <c r="AF17" s="18"/>
    </row>
    <row r="18" customFormat="false" ht="15" hidden="false" customHeight="false" outlineLevel="0" collapsed="false">
      <c r="A18" s="14" t="s">
        <v>101</v>
      </c>
      <c r="B18" s="14" t="s">
        <v>77</v>
      </c>
      <c r="C18" s="15"/>
      <c r="D18" s="15"/>
      <c r="E18" s="15"/>
      <c r="F18" s="16" t="str">
        <f aca="false">IF($C18="","",C18+D18+E18)</f>
        <v/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 t="str">
        <f aca="false">IF($C18="","",SUM(G18:Q18))</f>
        <v/>
      </c>
      <c r="S18" s="16" t="str">
        <f aca="false">IF($C18="","",F18-R18)</f>
        <v/>
      </c>
      <c r="T18" s="17" t="str">
        <f aca="false">IF($C18="","",IF(F18=0,0,S18/F18))</f>
        <v/>
      </c>
      <c r="U18" s="17" t="str">
        <f aca="false">IF($C18="","",IF(C18=0,0,G18/C18))</f>
        <v/>
      </c>
      <c r="V18" s="17" t="str">
        <f aca="false">IF($C18="","",IF(C18=0,0,H18/C18))</f>
        <v/>
      </c>
      <c r="W18" s="17" t="str">
        <f aca="false">IF($C18="","",IF(C18=0,0,K18/C18))</f>
        <v/>
      </c>
      <c r="X18" s="17" t="str">
        <f aca="false">IF($C18="","",IF(C18=0,0,J18/C18))</f>
        <v/>
      </c>
      <c r="Y18" s="16" t="str">
        <f aca="false">IF($C18="","",(R18-J18-D18-E18)/(1-X18))</f>
        <v/>
      </c>
      <c r="Z18" s="16" t="str">
        <f aca="false">IF($C18="","",S18*'Thiết lập'!$B$3)</f>
        <v/>
      </c>
      <c r="AA18" s="16" t="str">
        <f aca="false">IF($C18="","",S18*'Thiết lập'!$B$4)</f>
        <v/>
      </c>
      <c r="AB18" s="16" t="str">
        <f aca="false">IF($C18="","",S18*'Thiết lập'!$B$5)</f>
        <v/>
      </c>
      <c r="AC18" s="16" t="str">
        <f aca="false">IF($C18="","",IF(Q18&gt;0,S18,S18-C18*'Thiết lập'!$B$9))</f>
        <v/>
      </c>
      <c r="AD18" s="15"/>
      <c r="AE18" s="16" t="str">
        <f aca="false">IF(OR($C18="",AD18=""),"",S18-AD18)</f>
        <v/>
      </c>
      <c r="AF18" s="18"/>
    </row>
    <row r="19" customFormat="false" ht="15" hidden="false" customHeight="false" outlineLevel="0" collapsed="false">
      <c r="A19" s="14" t="s">
        <v>102</v>
      </c>
      <c r="B19" s="14" t="s">
        <v>77</v>
      </c>
      <c r="C19" s="15"/>
      <c r="D19" s="15"/>
      <c r="E19" s="15"/>
      <c r="F19" s="16" t="str">
        <f aca="false">IF($C19="","",C19+D19+E19)</f>
        <v/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 t="str">
        <f aca="false">IF($C19="","",SUM(G19:Q19))</f>
        <v/>
      </c>
      <c r="S19" s="16" t="str">
        <f aca="false">IF($C19="","",F19-R19)</f>
        <v/>
      </c>
      <c r="T19" s="17" t="str">
        <f aca="false">IF($C19="","",IF(F19=0,0,S19/F19))</f>
        <v/>
      </c>
      <c r="U19" s="17" t="str">
        <f aca="false">IF($C19="","",IF(C19=0,0,G19/C19))</f>
        <v/>
      </c>
      <c r="V19" s="17" t="str">
        <f aca="false">IF($C19="","",IF(C19=0,0,H19/C19))</f>
        <v/>
      </c>
      <c r="W19" s="17" t="str">
        <f aca="false">IF($C19="","",IF(C19=0,0,K19/C19))</f>
        <v/>
      </c>
      <c r="X19" s="17" t="str">
        <f aca="false">IF($C19="","",IF(C19=0,0,J19/C19))</f>
        <v/>
      </c>
      <c r="Y19" s="16" t="str">
        <f aca="false">IF($C19="","",(R19-J19-D19-E19)/(1-X19))</f>
        <v/>
      </c>
      <c r="Z19" s="16" t="str">
        <f aca="false">IF($C19="","",S19*'Thiết lập'!$B$3)</f>
        <v/>
      </c>
      <c r="AA19" s="16" t="str">
        <f aca="false">IF($C19="","",S19*'Thiết lập'!$B$4)</f>
        <v/>
      </c>
      <c r="AB19" s="16" t="str">
        <f aca="false">IF($C19="","",S19*'Thiết lập'!$B$5)</f>
        <v/>
      </c>
      <c r="AC19" s="16" t="str">
        <f aca="false">IF($C19="","",IF(Q19&gt;0,S19,S19-C19*'Thiết lập'!$B$9))</f>
        <v/>
      </c>
      <c r="AD19" s="15"/>
      <c r="AE19" s="16" t="str">
        <f aca="false">IF(OR($C19="",AD19=""),"",S19-AD19)</f>
        <v/>
      </c>
      <c r="AF19" s="18"/>
    </row>
    <row r="21" customFormat="false" ht="15" hidden="false" customHeight="false" outlineLevel="0" collapsed="false">
      <c r="A21" s="11" t="s">
        <v>103</v>
      </c>
      <c r="C21" s="19" t="n">
        <f aca="false">SUM(C2:C19)</f>
        <v>2334150926</v>
      </c>
      <c r="D21" s="19" t="n">
        <f aca="false">SUM(D2:D19)</f>
        <v>70393742</v>
      </c>
      <c r="E21" s="19" t="n">
        <f aca="false">SUM(E2:E19)</f>
        <v>60377000</v>
      </c>
      <c r="F21" s="19" t="n">
        <f aca="false">SUM(F2:F19)</f>
        <v>2464921668</v>
      </c>
      <c r="G21" s="19" t="n">
        <f aca="false">SUM(G2:G19)</f>
        <v>1227609481</v>
      </c>
      <c r="H21" s="19" t="n">
        <f aca="false">SUM(H2:H19)</f>
        <v>369072373</v>
      </c>
      <c r="I21" s="19" t="n">
        <f aca="false">SUM(I2:I19)</f>
        <v>8059000</v>
      </c>
      <c r="J21" s="19" t="n">
        <f aca="false">SUM(J2:J19)</f>
        <v>114908835</v>
      </c>
      <c r="K21" s="19" t="n">
        <f aca="false">SUM(K2:K19)</f>
        <v>217376106</v>
      </c>
      <c r="L21" s="19" t="n">
        <f aca="false">SUM(L2:L19)</f>
        <v>850000</v>
      </c>
      <c r="M21" s="19" t="n">
        <f aca="false">SUM(M2:M19)</f>
        <v>3145000</v>
      </c>
      <c r="N21" s="19" t="n">
        <f aca="false">SUM(N2:N19)</f>
        <v>85196666</v>
      </c>
      <c r="O21" s="19" t="n">
        <f aca="false">SUM(O2:O19)</f>
        <v>6350000</v>
      </c>
      <c r="P21" s="19" t="n">
        <f aca="false">SUM(P2:P19)</f>
        <v>3000000</v>
      </c>
      <c r="Q21" s="19" t="n">
        <f aca="false">SUM(Q2:Q19)</f>
        <v>0</v>
      </c>
      <c r="R21" s="19" t="n">
        <f aca="false">SUM(R2:R19)</f>
        <v>2035567461</v>
      </c>
      <c r="S21" s="19" t="n">
        <f aca="false">SUM(S2:S19)</f>
        <v>429354207</v>
      </c>
      <c r="T21" s="20" t="n">
        <f aca="false">IF(F21=0,0,S21/F21)</f>
        <v>0.174185740899577</v>
      </c>
      <c r="U21" s="20" t="n">
        <f aca="false">IF(C21=0,0,G21/C21)</f>
        <v>0.525934063357135</v>
      </c>
      <c r="V21" s="20" t="n">
        <f aca="false">IF(C21=0,0,H21/C21)</f>
        <v>0.158118469927938</v>
      </c>
      <c r="W21" s="20" t="n">
        <f aca="false">IF(C21=0,0,K21/C21)</f>
        <v>0.0931285563322652</v>
      </c>
      <c r="X21" s="20" t="n">
        <f aca="false">IF(C21=0,0,J21/C21)</f>
        <v>0.0492293937465807</v>
      </c>
      <c r="Z21" s="19" t="n">
        <f aca="false">SUM(Z2:Z19)</f>
        <v>171741682.8</v>
      </c>
      <c r="AA21" s="19" t="n">
        <f aca="false">SUM(AA2:AA19)</f>
        <v>128806262.1</v>
      </c>
      <c r="AB21" s="19" t="n">
        <f aca="false">SUM(AB2:AB19)</f>
        <v>128806262.1</v>
      </c>
      <c r="AC21" s="19" t="n">
        <f aca="false">SUM(AC2:AC19)</f>
        <v>265963642.18</v>
      </c>
      <c r="AD21" s="19" t="n">
        <f aca="false">SUM(AD2:AD19)</f>
        <v>429354208</v>
      </c>
      <c r="AE21" s="19" t="n">
        <f aca="false">SUM(AE2:AE19)</f>
        <v>-1</v>
      </c>
    </row>
    <row r="22" customFormat="false" ht="15" hidden="false" customHeight="false" outlineLevel="0" collapsed="false">
      <c r="A22" s="11" t="s">
        <v>104</v>
      </c>
      <c r="B22" s="21" t="s">
        <v>105</v>
      </c>
      <c r="C22" s="19" t="n">
        <f aca="false">IFERROR(AVERAGEIFS(C2:C19,$B$2:$B$19,"Thường",$C$2:$C$19,"&lt;&gt;"),0)</f>
        <v>148929137.571429</v>
      </c>
      <c r="D22" s="19" t="n">
        <f aca="false">IFERROR(AVERAGEIFS(D2:D19,$B$2:$B$19,"Thường",$C$2:$C$19,"&lt;&gt;"),0)</f>
        <v>4667539.57142857</v>
      </c>
      <c r="E22" s="19" t="n">
        <f aca="false">IFERROR(AVERAGEIFS(E2:E19,$B$2:$B$19,"Thường",$C$2:$C$19,"&lt;&gt;"),0)</f>
        <v>3241285.71428571</v>
      </c>
      <c r="F22" s="19" t="n">
        <f aca="false">IFERROR(AVERAGEIFS(F2:F19,$B$2:$B$19,"Thường",$C$2:$C$19,"&lt;&gt;"),0)</f>
        <v>156837962.857143</v>
      </c>
      <c r="G22" s="19" t="n">
        <f aca="false">IFERROR(AVERAGEIFS(G2:G19,$B$2:$B$19,"Thường",$C$2:$C$19,"&lt;&gt;"),0)</f>
        <v>77884489.4285714</v>
      </c>
      <c r="H22" s="19" t="n">
        <f aca="false">IFERROR(AVERAGEIFS(H2:H19,$B$2:$B$19,"Thường",$C$2:$C$19,"&lt;&gt;"),0)</f>
        <v>24679026.6428571</v>
      </c>
      <c r="I22" s="19" t="n">
        <f aca="false">IFERROR(AVERAGEIFS(I2:I19,$B$2:$B$19,"Thường",$C$2:$C$19,"&lt;&gt;"),0)</f>
        <v>575642.857142857</v>
      </c>
      <c r="J22" s="19" t="n">
        <f aca="false">IFERROR(AVERAGEIFS(J2:J19,$B$2:$B$19,"Thường",$C$2:$C$19,"&lt;&gt;"),0)</f>
        <v>7846273.92857143</v>
      </c>
      <c r="K22" s="19" t="n">
        <f aca="false">IFERROR(AVERAGEIFS(K2:K19,$B$2:$B$19,"Thường",$C$2:$C$19,"&lt;&gt;"),0)</f>
        <v>14584202.8571429</v>
      </c>
      <c r="L22" s="19" t="n">
        <f aca="false">IFERROR(AVERAGEIFS(L2:L19,$B$2:$B$19,"Thường",$C$2:$C$19,"&lt;&gt;"),0)</f>
        <v>60714.2857142857</v>
      </c>
      <c r="M22" s="19" t="n">
        <f aca="false">IFERROR(AVERAGEIFS(M2:M19,$B$2:$B$19,"Thường",$C$2:$C$19,"&lt;&gt;"),0)</f>
        <v>224642.857142857</v>
      </c>
      <c r="N22" s="19" t="n">
        <f aca="false">IFERROR(AVERAGEIFS(N2:N19,$B$2:$B$19,"Thường",$C$2:$C$19,"&lt;&gt;"),0)</f>
        <v>5642619</v>
      </c>
      <c r="O22" s="19" t="n">
        <f aca="false">IFERROR(AVERAGEIFS(O2:O19,$B$2:$B$19,"Thường",$C$2:$C$19,"&lt;&gt;"),0)</f>
        <v>453571.428571429</v>
      </c>
      <c r="P22" s="19" t="n">
        <f aca="false">IFERROR(AVERAGEIFS(P2:P19,$B$2:$B$19,"Thường",$C$2:$C$19,"&lt;&gt;"),0)</f>
        <v>214285.714285714</v>
      </c>
      <c r="Q22" s="19" t="n">
        <f aca="false">IFERROR(AVERAGEIFS(Q2:Q19,$B$2:$B$19,"Thường",$C$2:$C$19,"&lt;&gt;"),0)</f>
        <v>0</v>
      </c>
      <c r="R22" s="19" t="n">
        <f aca="false">IFERROR(AVERAGEIFS(R2:R19,$B$2:$B$19,"Thường",$C$2:$C$19,"&lt;&gt;"),0)</f>
        <v>132165469</v>
      </c>
      <c r="S22" s="19" t="n">
        <f aca="false">IFERROR(AVERAGEIFS(S2:S19,$B$2:$B$19,"Thường",$C$2:$C$19,"&lt;&gt;"),0)</f>
        <v>24672493.8571429</v>
      </c>
      <c r="T22" s="20" t="n">
        <f aca="false">IF(F22=0,0,S22/F22)</f>
        <v>0.157312001556766</v>
      </c>
      <c r="U22" s="20" t="n">
        <f aca="false">IF(C22=0,0,G22/C22)</f>
        <v>0.522963408629268</v>
      </c>
      <c r="V22" s="20" t="n">
        <f aca="false">IF(C22=0,0,H22/C22)</f>
        <v>0.16570986071158</v>
      </c>
      <c r="W22" s="20" t="n">
        <f aca="false">IF(C22=0,0,K22/C22)</f>
        <v>0.0979271289350485</v>
      </c>
      <c r="X22" s="20" t="n">
        <f aca="false">IF(C22=0,0,J22/C22)</f>
        <v>0.0526846126723069</v>
      </c>
      <c r="Z22" s="19" t="n">
        <f aca="false">IFERROR(AVERAGEIFS(Z2:Z19,$B$2:$B$19,"Thường",$C$2:$C$19,"&lt;&gt;"),0)</f>
        <v>9868997.54285714</v>
      </c>
      <c r="AA22" s="19" t="n">
        <f aca="false">IFERROR(AVERAGEIFS(AA2:AA19,$B$2:$B$19,"Thường",$C$2:$C$19,"&lt;&gt;"),0)</f>
        <v>7401748.15714286</v>
      </c>
      <c r="AB22" s="19" t="n">
        <f aca="false">IFERROR(AVERAGEIFS(AB2:AB19,$B$2:$B$19,"Thường",$C$2:$C$19,"&lt;&gt;"),0)</f>
        <v>7401748.15714286</v>
      </c>
      <c r="AC22" s="19" t="n">
        <f aca="false">IFERROR(AVERAGEIFS(AC2:AC19,$B$2:$B$19,"Thường",$C$2:$C$19,"&lt;&gt;"),0)</f>
        <v>14247454.2271429</v>
      </c>
    </row>
  </sheetData>
  <conditionalFormatting sqref="T2:T19">
    <cfRule type="expression" priority="2" aboveAverage="0" equalAverage="0" bottom="0" percent="0" rank="0" text="" dxfId="0">
      <formula>AND(T2&lt;&gt;"",T2&lt;'Thiết lập'!$B$6)</formula>
    </cfRule>
  </conditionalFormatting>
  <conditionalFormatting sqref="U2:U19">
    <cfRule type="expression" priority="3" aboveAverage="0" equalAverage="0" bottom="0" percent="0" rank="0" text="" dxfId="0">
      <formula>AND(U2&lt;&gt;"",U2&gt;'Thiết lập'!$B$7)</formula>
    </cfRule>
  </conditionalFormatting>
  <conditionalFormatting sqref="W2:W19">
    <cfRule type="expression" priority="4" aboveAverage="0" equalAverage="0" bottom="0" percent="0" rank="0" text="" dxfId="1">
      <formula>AND(W2&lt;&gt;"",W2&gt;'Thiết lập'!$B$8)</formula>
    </cfRule>
  </conditionalFormatting>
  <conditionalFormatting sqref="AE2:AE19">
    <cfRule type="expression" priority="5" aboveAverage="0" equalAverage="0" bottom="0" percent="0" rank="0" text="" dxfId="0">
      <formula>AND(AE2&lt;&gt;"",ABS(AE2)&gt;1)</formula>
    </cfRule>
  </conditionalFormatting>
  <conditionalFormatting sqref="S2:S19">
    <cfRule type="expression" priority="6" aboveAverage="0" equalAverage="0" bottom="0" percent="0" rank="0" text="" dxfId="0">
      <formula>AND(S2&lt;&gt;"",S2&lt;0)</formula>
    </cfRule>
  </conditionalFormatting>
  <conditionalFormatting sqref="AF2:AF19">
    <cfRule type="expression" priority="7" aboveAverage="0" equalAverage="0" bottom="0" percent="0" rank="0" text="" dxfId="1">
      <formula>LEFT(AF2,8)="KIỂM TRA"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2026-10-10T04:18:57Z</dcterms:created>
  <dc:creator>openpyxl</dc:creator>
  <dc:description/>
  <dc:language>en-US</dc:language>
  <cp:lastModifiedBy/>
  <dcterms:modified xsi:type="dcterms:W3CDTF">2026-10-10T04:19:06Z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