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XetBac" sheetId="1" state="visible" r:id="rId3"/>
    <sheet name="Nguong" sheetId="2" state="visible" r:id="rId4"/>
    <sheet name="HuongDan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<sst xmlns="http://schemas.openxmlformats.org/spreadsheetml/2006/main" count="112" uniqueCount="81">
  <si>
    <t xml:space="preserve">BẢNG TÍNH ĐIỂM XẾP HẠNG &amp; XÉT BẬC – Stylist / Skinner / Supporter (chính sách từ 01/10/2026)</t>
  </si>
  <si>
    <t xml:space="preserve">Ô màu VÀNG = nhập số liệu kỳ xét (3 tháng). Ô màu XANH = công thức tự tính, không sửa. Áp dụng cho Level 1–5. Xem sheet HuongDan.</t>
  </si>
  <si>
    <t xml:space="preserve">DỮ LIỆU NHẬP</t>
  </si>
  <si>
    <t xml:space="preserve">TỰ ĐỘNG TÍNH</t>
  </si>
  <si>
    <t xml:space="preserve">KẾT QUẢ</t>
  </si>
  <si>
    <t xml:space="preserve">STT</t>
  </si>
  <si>
    <t xml:space="preserve">Họ tên</t>
  </si>
  <si>
    <t xml:space="preserve">Vị trí</t>
  </si>
  <si>
    <t xml:space="preserve">Bậc hiện tại (1–5)</t>
  </si>
  <si>
    <t xml:space="preserve">Nhóm salon (1–4)</t>
  </si>
  <si>
    <t xml:space="preserve">Doanh thu đóng góp (VNĐ)</t>
  </si>
  <si>
    <t xml:space="preserve">Tổng lượt khách phục vụ</t>
  </si>
  <si>
    <t xml:space="preserve">Lượt khách book đích danh</t>
  </si>
  <si>
    <t xml:space="preserve">Số bill bị đánh giá 1–3 sao</t>
  </si>
  <si>
    <t xml:space="preserve">Số lỗi gian lận</t>
  </si>
  <si>
    <t xml:space="preserve">Số lỗi mức Cấm</t>
  </si>
  <si>
    <t xml:space="preserve">Số lỗi mức Lỗi</t>
  </si>
  <si>
    <t xml:space="preserve">Đạt tiêu chí năng lực?</t>
  </si>
  <si>
    <t xml:space="preserve">Đạt DT tối thiểu bậc trên?</t>
  </si>
  <si>
    <t xml:space="preserve">Còn chỗ trống bậc trên?</t>
  </si>
  <si>
    <t xml:space="preserve">Nhóm xếp hạng</t>
  </si>
  <si>
    <t xml:space="preserve">Tỷ lệ book đích danh</t>
  </si>
  <si>
    <t xml:space="preserve">Tỷ lệ bill 1–3 sao</t>
  </si>
  <si>
    <t xml:space="preserve">P doanh thu (cao hơn x% người cùng nhóm)</t>
  </si>
  <si>
    <t xml:space="preserve">P book đích danh</t>
  </si>
  <si>
    <t xml:space="preserve">ĐIỂM XẾP HẠNG</t>
  </si>
  <si>
    <t xml:space="preserve">Thứ hạng</t>
  </si>
  <si>
    <t xml:space="preserve">Số người cùng nhóm</t>
  </si>
  <si>
    <t xml:space="preserve">TOP %</t>
  </si>
  <si>
    <t xml:space="preserve">Đạt điều kiện cần?</t>
  </si>
  <si>
    <t xml:space="preserve">Ngưỡng LÊN bậc trên</t>
  </si>
  <si>
    <t xml:space="preserve">Ngưỡng GIỮ bậc hiện tại</t>
  </si>
  <si>
    <t xml:space="preserve">KẾT QUẢ XÉT BẬC</t>
  </si>
  <si>
    <t xml:space="preserve">Nguyễn Văn A</t>
  </si>
  <si>
    <t xml:space="preserve">Stylist</t>
  </si>
  <si>
    <t xml:space="preserve">Có</t>
  </si>
  <si>
    <t xml:space="preserve">Trần Thị B</t>
  </si>
  <si>
    <t xml:space="preserve">Lê Văn C</t>
  </si>
  <si>
    <t xml:space="preserve">Không</t>
  </si>
  <si>
    <t xml:space="preserve">Phạm Văn D</t>
  </si>
  <si>
    <t xml:space="preserve">Hoàng Văn E</t>
  </si>
  <si>
    <t xml:space="preserve">Đỗ Thị F</t>
  </si>
  <si>
    <t xml:space="preserve">Skinner</t>
  </si>
  <si>
    <t xml:space="preserve">Vũ Thị G</t>
  </si>
  <si>
    <t xml:space="preserve">Bùi Thị H</t>
  </si>
  <si>
    <t xml:space="preserve">Supporter</t>
  </si>
  <si>
    <t xml:space="preserve">Ngô Thị K</t>
  </si>
  <si>
    <t xml:space="preserve">BẢNG NGƯỠNG THEO CHÍNH SÁCH (mục 5.2 &amp; 5.5) – có thể chỉnh nếu chính sách thay đổi</t>
  </si>
  <si>
    <t xml:space="preserve">Bậc</t>
  </si>
  <si>
    <t xml:space="preserve">Tỷ lệ 1–3 sao tối đa</t>
  </si>
  <si>
    <t xml:space="preserve">Stylist/Skinner – LÊN</t>
  </si>
  <si>
    <t xml:space="preserve">Stylist/Skinner – GIỮ</t>
  </si>
  <si>
    <t xml:space="preserve">Supporter – LÊN</t>
  </si>
  <si>
    <t xml:space="preserve">Supporter – GIỮ</t>
  </si>
  <si>
    <t xml:space="preserve">Ghi chú:</t>
  </si>
  <si>
    <t xml:space="preserve">• Level 1 là bậc nền: không có ngưỡng LÊN (ô trống) và không bị hạ vì thứ hạng (ngưỡng GIỮ đặt = 100%).</t>
  </si>
  <si>
    <t xml:space="preserve">• Ngưỡng tính theo Top %: Top % của nhân sự ≤ ngưỡng thì đạt.</t>
  </si>
  <si>
    <t xml:space="preserve">• Kỷ luật (mục 5.2): 0 lỗi gian lận; tối đa 1 lỗi mức Cấm; tối đa 2 lỗi mức Lỗi trong kỳ (giới hạn ở ô dưới).</t>
  </si>
  <si>
    <t xml:space="preserve">Giới hạn kỷ luật</t>
  </si>
  <si>
    <t xml:space="preserve">Lỗi gian lận tối đa</t>
  </si>
  <si>
    <t xml:space="preserve">Lỗi mức Cấm tối đa</t>
  </si>
  <si>
    <t xml:space="preserve">Lỗi mức Lỗi tối đa</t>
  </si>
  <si>
    <t xml:space="preserve">HƯỚNG DẪN SỬ DỤNG</t>
  </si>
  <si>
    <t xml:space="preserve">1. Nhập mỗi nhân sự 1 dòng ở sheet XetBac (cột A–O, màu vàng). Nhập TOÀN BỘ nhân sự cùng vị trí, cùng nhóm salon còn làm việc cuối kỳ thì thứ hạng mới đúng.</t>
  </si>
  <si>
    <t xml:space="preserve">2. 9 dòng đầu là dữ liệu VÍ DỤ – xóa nội dung cột A–O của các dòng này trước khi nhập thật (không xóa cột màu xanh). Bảng có sẵn công thức đến dòng 204.</t>
  </si>
  <si>
    <t xml:space="preserve">3. Số liệu nhập là tổng 3 tháng của kỳ xét (12–1–2, 3–4–5, 6–7–8, 9–10–11).</t>
  </si>
  <si>
    <t xml:space="preserve">CÔNG THỨC ĐANG DÙNG</t>
  </si>
  <si>
    <t xml:space="preserve">Nhóm xếp hạng = Nhóm salon; riêng Supporter Nhóm 4 xếp chung Nhóm 3 (Phụ lục 1).</t>
  </si>
  <si>
    <t xml:space="preserve">Tỷ lệ book đích danh = Lượt khách book đích danh ÷ Tổng lượt khách phục vụ.</t>
  </si>
  <si>
    <t xml:space="preserve">Tỷ lệ bill 1–3 sao = Số bill bị đánh giá 1–3 sao ÷ Tổng lượt khách phục vụ.</t>
  </si>
  <si>
    <t xml:space="preserve">P (doanh thu / book) = Số người cùng vị trí, cùng nhóm có chỉ số THẤP hơn mình ÷ (Số người cùng nhóm – 1) × 100.</t>
  </si>
  <si>
    <t xml:space="preserve">ĐIỂM – Stylist, Skinner = 0,85 × P doanh thu + 0,15 × P book đích danh.   Supporter = P doanh thu.</t>
  </si>
  <si>
    <t xml:space="preserve">Thứ hạng = Số người cùng vị trí, cùng nhóm có điểm CAO hơn + 1.   TOP % = Thứ hạng ÷ Số người cùng nhóm.</t>
  </si>
  <si>
    <t xml:space="preserve">Điều kiện cần = Đạt năng lực + tỷ lệ 1–3 sao ≤ mức tối đa của bậc hiện tại + kỷ luật trong giới hạn (sheet Nguong).</t>
  </si>
  <si>
    <t xml:space="preserve">KẾT QUẢ: Không đạt ĐK cần → xuống 1 bậc.  Top % ≤ ngưỡng LÊN bậc trên + đạt DT tối thiểu + còn chỗ → Lên 1 bậc.  Top % ≤ ngưỡng GIỮ → Giữ bậc.  Còn lại → Xuống 1 bậc.</t>
  </si>
  <si>
    <t xml:space="preserve">GIẢ ĐỊNH / LƯU Ý</t>
  </si>
  <si>
    <t xml:space="preserve">• Chính sách chỉ ghi "cao hơn x% nhân sự cùng nhóm", không nêu cách tính P chi tiết; bảng dùng cách đếm ở trên (người đứng đầu nhóm = 100). Kết quả hệ thống công ty có thể chênh nhẹ.</t>
  </si>
  <si>
    <t xml:space="preserve">• Mức doanh thu tối thiểu từng bậc và số chỗ bậc cao chưa công bố trong văn bản → nhập tay Có/Không ở cột N, O.</t>
  </si>
  <si>
    <t xml:space="preserve">• Không áp dụng cho Level A/B/C/D (xét hằng tháng theo cơ chế riêng). Level 1 không bị hạ vì thứ hạng.</t>
  </si>
  <si>
    <t xml:space="preserve">• Không tự xét các trường hợp miễn hạ bậc (mục 5.7: nghỉ thai sản, ốm dài, điều chuyển salon, salon sửa chữa) – SM tự đối chiếu.</t>
  </si>
  <si>
    <t xml:space="preserve">• Mỗi kỳ chỉ lên/xuống tối đa 1 bậc. Nguồn: Chính sách lộ trình thăng tiến Stylist – Skinner – Supporter từ 01/10/2026.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</si>
</sst>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#,##0"/>
    <numFmt numFmtId="166" formatCode="General"/>
    <numFmt numFmtId="167" formatCode="0.0%"/>
    <numFmt numFmtId="168" formatCode="0.00%"/>
    <numFmt numFmtId="169" formatCode="0.00"/>
    <numFmt numFmtId="170" formatCode="0%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i val="true"/>
      <sz val="11"/>
      <color rgb="FF595959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b val="true"/>
      <sz val="12"/>
      <name val="Arial"/>
      <family val="0"/>
      <charset val="1"/>
    </font>
    <font>
      <sz val="11"/>
      <color rgb="FF000000"/>
      <name val="Arial"/>
      <family val="0"/>
      <charset val="1"/>
    </font>
    <font>
      <sz val="11"/>
      <color rgb="FF0000FF"/>
      <name val="Arial"/>
      <family val="0"/>
      <charset val="1"/>
    </font>
    <font>
      <sz val="1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FFF2CC"/>
        <bgColor rgb="FFE2EFDA"/>
      </patternFill>
    </fill>
    <fill>
      <patternFill patternType="solid">
        <fgColor rgb="FFE2EFDA"/>
        <bgColor rgb="FFDDEBF7"/>
      </patternFill>
    </fill>
    <fill>
      <patternFill patternType="solid">
        <fgColor rgb="FFDDEBF7"/>
        <bgColor rgb="FFE2EFDA"/>
      </patternFill>
    </fill>
    <fill>
      <patternFill patternType="solid">
        <fgColor rgb="FF1F4E78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3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1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11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ont>
        <name val="Arial"/>
        <charset val="1"/>
        <family val="0"/>
        <b val="1"/>
        <color rgb="FF006100"/>
      </font>
      <fill>
        <patternFill>
          <bgColor rgb="FFC6EFCE"/>
        </patternFill>
      </fill>
    </dxf>
    <dxf>
      <font>
        <name val="Arial"/>
        <charset val="1"/>
        <family val="0"/>
        <b val="1"/>
        <color rgb="FF9C0006"/>
      </font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2EFDA"/>
      <rgbColor rgb="FFC6EFCE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20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2"/>
    <col collapsed="false" customWidth="true" hidden="false" outlineLevel="0" max="3" min="3" style="0" width="12"/>
    <col collapsed="false" customWidth="true" hidden="false" outlineLevel="0" max="5" min="4" style="0" width="10"/>
    <col collapsed="false" customWidth="true" hidden="false" outlineLevel="0" max="6" min="6" style="0" width="16"/>
    <col collapsed="false" customWidth="true" hidden="false" outlineLevel="0" max="9" min="7" style="0" width="11"/>
    <col collapsed="false" customWidth="true" hidden="false" outlineLevel="0" max="12" min="10" style="0" width="9"/>
    <col collapsed="false" customWidth="true" hidden="false" outlineLevel="0" max="13" min="13" style="0" width="10"/>
    <col collapsed="false" customWidth="true" hidden="false" outlineLevel="0" max="15" min="14" style="0" width="11"/>
    <col collapsed="false" customWidth="true" hidden="false" outlineLevel="0" max="16" min="16" style="0" width="9"/>
    <col collapsed="false" customWidth="true" hidden="false" outlineLevel="0" max="18" min="17" style="0" width="10"/>
    <col collapsed="false" customWidth="true" hidden="false" outlineLevel="0" max="19" min="19" style="0" width="13"/>
    <col collapsed="false" customWidth="true" hidden="false" outlineLevel="0" max="21" min="20" style="0" width="11"/>
    <col collapsed="false" customWidth="true" hidden="false" outlineLevel="0" max="22" min="22" style="0" width="8"/>
    <col collapsed="false" customWidth="true" hidden="false" outlineLevel="0" max="24" min="23" style="0" width="9"/>
    <col collapsed="false" customWidth="true" hidden="false" outlineLevel="0" max="27" min="25" style="0" width="10"/>
    <col collapsed="false" customWidth="true" hidden="false" outlineLevel="0" max="28" min="28" style="0" width="30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4" t="s">
        <v>3</v>
      </c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5" t="s">
        <v>4</v>
      </c>
    </row>
    <row r="4" customFormat="false" ht="60" hidden="false" customHeight="true" outlineLevel="0" collapsed="false">
      <c r="A4" s="6" t="s">
        <v>5</v>
      </c>
      <c r="B4" s="6" t="s">
        <v>6</v>
      </c>
      <c r="C4" s="6" t="s">
        <v>7</v>
      </c>
      <c r="D4" s="6" t="s">
        <v>8</v>
      </c>
      <c r="E4" s="6" t="s">
        <v>9</v>
      </c>
      <c r="F4" s="6" t="s">
        <v>10</v>
      </c>
      <c r="G4" s="6" t="s">
        <v>11</v>
      </c>
      <c r="H4" s="6" t="s">
        <v>12</v>
      </c>
      <c r="I4" s="6" t="s">
        <v>13</v>
      </c>
      <c r="J4" s="6" t="s">
        <v>14</v>
      </c>
      <c r="K4" s="6" t="s">
        <v>15</v>
      </c>
      <c r="L4" s="6" t="s">
        <v>16</v>
      </c>
      <c r="M4" s="6" t="s">
        <v>17</v>
      </c>
      <c r="N4" s="6" t="s">
        <v>18</v>
      </c>
      <c r="O4" s="6" t="s">
        <v>19</v>
      </c>
      <c r="P4" s="6" t="s">
        <v>20</v>
      </c>
      <c r="Q4" s="6" t="s">
        <v>21</v>
      </c>
      <c r="R4" s="6" t="s">
        <v>22</v>
      </c>
      <c r="S4" s="6" t="s">
        <v>23</v>
      </c>
      <c r="T4" s="6" t="s">
        <v>24</v>
      </c>
      <c r="U4" s="6" t="s">
        <v>25</v>
      </c>
      <c r="V4" s="6" t="s">
        <v>26</v>
      </c>
      <c r="W4" s="6" t="s">
        <v>27</v>
      </c>
      <c r="X4" s="6" t="s">
        <v>28</v>
      </c>
      <c r="Y4" s="6" t="s">
        <v>29</v>
      </c>
      <c r="Z4" s="6" t="s">
        <v>30</v>
      </c>
      <c r="AA4" s="6" t="s">
        <v>31</v>
      </c>
      <c r="AB4" s="6" t="s">
        <v>32</v>
      </c>
    </row>
    <row r="5" customFormat="false" ht="15" hidden="false" customHeight="false" outlineLevel="0" collapsed="false">
      <c r="A5" s="7" t="n">
        <v>1</v>
      </c>
      <c r="B5" s="7" t="s">
        <v>33</v>
      </c>
      <c r="C5" s="8" t="s">
        <v>34</v>
      </c>
      <c r="D5" s="8" t="n">
        <v>2</v>
      </c>
      <c r="E5" s="8" t="n">
        <v>1</v>
      </c>
      <c r="F5" s="9" t="n">
        <v>420000000</v>
      </c>
      <c r="G5" s="9" t="n">
        <v>900</v>
      </c>
      <c r="H5" s="9" t="n">
        <v>120</v>
      </c>
      <c r="I5" s="9" t="n">
        <v>1</v>
      </c>
      <c r="J5" s="9" t="n">
        <v>0</v>
      </c>
      <c r="K5" s="9" t="n">
        <v>0</v>
      </c>
      <c r="L5" s="9" t="n">
        <v>1</v>
      </c>
      <c r="M5" s="8" t="s">
        <v>35</v>
      </c>
      <c r="N5" s="8" t="s">
        <v>35</v>
      </c>
      <c r="O5" s="8" t="s">
        <v>35</v>
      </c>
      <c r="P5" s="10" t="n">
        <f aca="false">IF($B5="","",IF(AND($C5="Supporter",$E5=4),3,$E5))</f>
        <v>1</v>
      </c>
      <c r="Q5" s="11" t="n">
        <f aca="false">IF($B5="","",IF($G5&gt;0,$H5/$G5,0))</f>
        <v>0.133333333333333</v>
      </c>
      <c r="R5" s="12" t="n">
        <f aca="false">IF($B5="","",IF($G5&gt;0,$I5/$G5,0))</f>
        <v>0.00111111111111111</v>
      </c>
      <c r="S5" s="13" t="n">
        <f aca="false">IF($B5="","",IF($W5&lt;=1,100,COUNTIFS($C$5:$C$204,$C5,$P$5:$P$204,$P5,$F$5:$F$204,"&lt;"&amp;$F5)/($W5-1)*100))</f>
        <v>50</v>
      </c>
      <c r="T5" s="13" t="n">
        <f aca="false">IF($B5="","",IF($C5="Supporter","-",IF($W5&lt;=1,100,COUNTIFS($C$5:$C$204,$C5,$P$5:$P$204,$P5,$Q$5:$Q$204,"&lt;"&amp;$Q5)/($W5-1)*100)))</f>
        <v>50</v>
      </c>
      <c r="U5" s="14" t="n">
        <f aca="false">IF($B5="","",IF($C5="Supporter",$S5,0.85*$S5+0.15*$T5))</f>
        <v>50</v>
      </c>
      <c r="V5" s="10" t="n">
        <f aca="false">IF($B5="","",COUNTIFS($C$5:$C$204,$C5,$P$5:$P$204,$P5,$U$5:$U$204,"&gt;"&amp;$U5)+1)</f>
        <v>3</v>
      </c>
      <c r="W5" s="10" t="n">
        <f aca="false">IF($B5="","",COUNTIFS($C$5:$C$204,$C5,$P$5:$P$204,$P5))</f>
        <v>5</v>
      </c>
      <c r="X5" s="15" t="n">
        <f aca="false">IF($B5="","",$V5/$W5)</f>
        <v>0.6</v>
      </c>
      <c r="Y5" s="10" t="str">
        <f aca="false">IF($B5="","",IF(AND($M5="Có",$J5&lt;=Nguong!$B$16,$K5&lt;=Nguong!$B$17,$L5&lt;=Nguong!$B$18,$R5&lt;=INDEX(Nguong!$B$4:$B$8,$D5)),"Đạt","Không đạt"))</f>
        <v>Đạt</v>
      </c>
      <c r="Z5" s="16" t="n">
        <f aca="false">IF($B5="","",IF($D5&gt;=5,"-",INDEX(IF($C5="Supporter",Nguong!$E$4:$E$8,Nguong!$C$4:$C$8),$D5+1)))</f>
        <v>0.15</v>
      </c>
      <c r="AA5" s="16" t="n">
        <f aca="false">IF($B5="","",INDEX(IF($C5="Supporter",Nguong!$F$4:$F$8,Nguong!$D$4:$D$8),$D5))</f>
        <v>0.5</v>
      </c>
      <c r="AB5" s="17" t="str">
        <f aca="false">IF($B5="","",IF($Y5="Không đạt",IF($D5=1,"Không đạt ĐK cần – SM/GĐKV xem xét","Xuống Level "&amp;($D5-1)&amp;" (không đạt ĐK cần)"),IF(AND($D5&lt;5,$Z5&lt;&gt;"-",$X5&lt;=$Z5,$N5="Có",$O5="Có"),"Lên Level "&amp;($D5+1),IF($X5&lt;=$AA5,"Giữ Level "&amp;$D5,"Xuống Level "&amp;($D5-1)&amp;" (ngoài ngưỡng giữ)"))))</f>
        <v>Xuống Level 1 (ngoài ngưỡng giữ)</v>
      </c>
    </row>
    <row r="6" customFormat="false" ht="15" hidden="false" customHeight="false" outlineLevel="0" collapsed="false">
      <c r="A6" s="7" t="n">
        <v>2</v>
      </c>
      <c r="B6" s="7" t="s">
        <v>36</v>
      </c>
      <c r="C6" s="8" t="s">
        <v>34</v>
      </c>
      <c r="D6" s="8" t="n">
        <v>4</v>
      </c>
      <c r="E6" s="8" t="n">
        <v>1</v>
      </c>
      <c r="F6" s="9" t="n">
        <v>510000000</v>
      </c>
      <c r="G6" s="9" t="n">
        <v>950</v>
      </c>
      <c r="H6" s="9" t="n">
        <v>200</v>
      </c>
      <c r="I6" s="9" t="n">
        <v>1</v>
      </c>
      <c r="J6" s="9" t="n">
        <v>0</v>
      </c>
      <c r="K6" s="9" t="n">
        <v>0</v>
      </c>
      <c r="L6" s="9" t="n">
        <v>0</v>
      </c>
      <c r="M6" s="8" t="s">
        <v>35</v>
      </c>
      <c r="N6" s="8" t="s">
        <v>35</v>
      </c>
      <c r="O6" s="8" t="s">
        <v>35</v>
      </c>
      <c r="P6" s="10" t="n">
        <f aca="false">IF($B6="","",IF(AND($C6="Supporter",$E6=4),3,$E6))</f>
        <v>1</v>
      </c>
      <c r="Q6" s="11" t="n">
        <f aca="false">IF($B6="","",IF($G6&gt;0,$H6/$G6,0))</f>
        <v>0.210526315789474</v>
      </c>
      <c r="R6" s="12" t="n">
        <f aca="false">IF($B6="","",IF($G6&gt;0,$I6/$G6,0))</f>
        <v>0.00105263157894737</v>
      </c>
      <c r="S6" s="13" t="n">
        <f aca="false">IF($B6="","",IF($W6&lt;=1,100,COUNTIFS($C$5:$C$204,$C6,$P$5:$P$204,$P6,$F$5:$F$204,"&lt;"&amp;$F6)/($W6-1)*100))</f>
        <v>75</v>
      </c>
      <c r="T6" s="13" t="n">
        <f aca="false">IF($B6="","",IF($C6="Supporter","-",IF($W6&lt;=1,100,COUNTIFS($C$5:$C$204,$C6,$P$5:$P$204,$P6,$Q$5:$Q$204,"&lt;"&amp;$Q6)/($W6-1)*100)))</f>
        <v>75</v>
      </c>
      <c r="U6" s="14" t="n">
        <f aca="false">IF($B6="","",IF($C6="Supporter",$S6,0.85*$S6+0.15*$T6))</f>
        <v>75</v>
      </c>
      <c r="V6" s="10" t="n">
        <f aca="false">IF($B6="","",COUNTIFS($C$5:$C$204,$C6,$P$5:$P$204,$P6,$U$5:$U$204,"&gt;"&amp;$U6)+1)</f>
        <v>2</v>
      </c>
      <c r="W6" s="10" t="n">
        <f aca="false">IF($B6="","",COUNTIFS($C$5:$C$204,$C6,$P$5:$P$204,$P6))</f>
        <v>5</v>
      </c>
      <c r="X6" s="15" t="n">
        <f aca="false">IF($B6="","",$V6/$W6)</f>
        <v>0.4</v>
      </c>
      <c r="Y6" s="10" t="str">
        <f aca="false">IF($B6="","",IF(AND($M6="Có",$J6&lt;=Nguong!$B$16,$K6&lt;=Nguong!$B$17,$L6&lt;=Nguong!$B$18,$R6&lt;=INDEX(Nguong!$B$4:$B$8,$D6)),"Đạt","Không đạt"))</f>
        <v>Đạt</v>
      </c>
      <c r="Z6" s="16" t="n">
        <f aca="false">IF($B6="","",IF($D6&gt;=5,"-",INDEX(IF($C6="Supporter",Nguong!$E$4:$E$8,Nguong!$C$4:$C$8),$D6+1)))</f>
        <v>0.02</v>
      </c>
      <c r="AA6" s="16" t="n">
        <f aca="false">IF($B6="","",INDEX(IF($C6="Supporter",Nguong!$F$4:$F$8,Nguong!$D$4:$D$8),$D6))</f>
        <v>0.1</v>
      </c>
      <c r="AB6" s="17" t="str">
        <f aca="false">IF($B6="","",IF($Y6="Không đạt",IF($D6=1,"Không đạt ĐK cần – SM/GĐKV xem xét","Xuống Level "&amp;($D6-1)&amp;" (không đạt ĐK cần)"),IF(AND($D6&lt;5,$Z6&lt;&gt;"-",$X6&lt;=$Z6,$N6="Có",$O6="Có"),"Lên Level "&amp;($D6+1),IF($X6&lt;=$AA6,"Giữ Level "&amp;$D6,"Xuống Level "&amp;($D6-1)&amp;" (ngoài ngưỡng giữ)"))))</f>
        <v>Xuống Level 3 (ngoài ngưỡng giữ)</v>
      </c>
    </row>
    <row r="7" customFormat="false" ht="15" hidden="false" customHeight="false" outlineLevel="0" collapsed="false">
      <c r="A7" s="7" t="n">
        <v>3</v>
      </c>
      <c r="B7" s="7" t="s">
        <v>37</v>
      </c>
      <c r="C7" s="8" t="s">
        <v>34</v>
      </c>
      <c r="D7" s="8" t="n">
        <v>3</v>
      </c>
      <c r="E7" s="8" t="n">
        <v>1</v>
      </c>
      <c r="F7" s="9" t="n">
        <v>300000000</v>
      </c>
      <c r="G7" s="9" t="n">
        <v>820</v>
      </c>
      <c r="H7" s="9" t="n">
        <v>60</v>
      </c>
      <c r="I7" s="9" t="n">
        <v>1</v>
      </c>
      <c r="J7" s="9" t="n">
        <v>0</v>
      </c>
      <c r="K7" s="9" t="n">
        <v>1</v>
      </c>
      <c r="L7" s="9" t="n">
        <v>0</v>
      </c>
      <c r="M7" s="8" t="s">
        <v>35</v>
      </c>
      <c r="N7" s="8" t="s">
        <v>38</v>
      </c>
      <c r="O7" s="8" t="s">
        <v>35</v>
      </c>
      <c r="P7" s="10" t="n">
        <f aca="false">IF($B7="","",IF(AND($C7="Supporter",$E7=4),3,$E7))</f>
        <v>1</v>
      </c>
      <c r="Q7" s="11" t="n">
        <f aca="false">IF($B7="","",IF($G7&gt;0,$H7/$G7,0))</f>
        <v>0.0731707317073171</v>
      </c>
      <c r="R7" s="12" t="n">
        <f aca="false">IF($B7="","",IF($G7&gt;0,$I7/$G7,0))</f>
        <v>0.00121951219512195</v>
      </c>
      <c r="S7" s="13" t="n">
        <f aca="false">IF($B7="","",IF($W7&lt;=1,100,COUNTIFS($C$5:$C$204,$C7,$P$5:$P$204,$P7,$F$5:$F$204,"&lt;"&amp;$F7)/($W7-1)*100))</f>
        <v>25</v>
      </c>
      <c r="T7" s="13" t="n">
        <f aca="false">IF($B7="","",IF($C7="Supporter","-",IF($W7&lt;=1,100,COUNTIFS($C$5:$C$204,$C7,$P$5:$P$204,$P7,$Q$5:$Q$204,"&lt;"&amp;$Q7)/($W7-1)*100)))</f>
        <v>25</v>
      </c>
      <c r="U7" s="14" t="n">
        <f aca="false">IF($B7="","",IF($C7="Supporter",$S7,0.85*$S7+0.15*$T7))</f>
        <v>25</v>
      </c>
      <c r="V7" s="10" t="n">
        <f aca="false">IF($B7="","",COUNTIFS($C$5:$C$204,$C7,$P$5:$P$204,$P7,$U$5:$U$204,"&gt;"&amp;$U7)+1)</f>
        <v>4</v>
      </c>
      <c r="W7" s="10" t="n">
        <f aca="false">IF($B7="","",COUNTIFS($C$5:$C$204,$C7,$P$5:$P$204,$P7))</f>
        <v>5</v>
      </c>
      <c r="X7" s="15" t="n">
        <f aca="false">IF($B7="","",$V7/$W7)</f>
        <v>0.8</v>
      </c>
      <c r="Y7" s="10" t="str">
        <f aca="false">IF($B7="","",IF(AND($M7="Có",$J7&lt;=Nguong!$B$16,$K7&lt;=Nguong!$B$17,$L7&lt;=Nguong!$B$18,$R7&lt;=INDEX(Nguong!$B$4:$B$8,$D7)),"Đạt","Không đạt"))</f>
        <v>Đạt</v>
      </c>
      <c r="Z7" s="16" t="n">
        <f aca="false">IF($B7="","",IF($D7&gt;=5,"-",INDEX(IF($C7="Supporter",Nguong!$E$4:$E$8,Nguong!$C$4:$C$8),$D7+1)))</f>
        <v>0.05</v>
      </c>
      <c r="AA7" s="16" t="n">
        <f aca="false">IF($B7="","",INDEX(IF($C7="Supporter",Nguong!$F$4:$F$8,Nguong!$D$4:$D$8),$D7))</f>
        <v>0.25</v>
      </c>
      <c r="AB7" s="17" t="str">
        <f aca="false">IF($B7="","",IF($Y7="Không đạt",IF($D7=1,"Không đạt ĐK cần – SM/GĐKV xem xét","Xuống Level "&amp;($D7-1)&amp;" (không đạt ĐK cần)"),IF(AND($D7&lt;5,$Z7&lt;&gt;"-",$X7&lt;=$Z7,$N7="Có",$O7="Có"),"Lên Level "&amp;($D7+1),IF($X7&lt;=$AA7,"Giữ Level "&amp;$D7,"Xuống Level "&amp;($D7-1)&amp;" (ngoài ngưỡng giữ)"))))</f>
        <v>Xuống Level 2 (ngoài ngưỡng giữ)</v>
      </c>
    </row>
    <row r="8" customFormat="false" ht="15" hidden="false" customHeight="false" outlineLevel="0" collapsed="false">
      <c r="A8" s="7" t="n">
        <v>4</v>
      </c>
      <c r="B8" s="7" t="s">
        <v>39</v>
      </c>
      <c r="C8" s="8" t="s">
        <v>34</v>
      </c>
      <c r="D8" s="8" t="n">
        <v>1</v>
      </c>
      <c r="E8" s="8" t="n">
        <v>1</v>
      </c>
      <c r="F8" s="9" t="n">
        <v>650000000</v>
      </c>
      <c r="G8" s="9" t="n">
        <v>980</v>
      </c>
      <c r="H8" s="9" t="n">
        <v>230</v>
      </c>
      <c r="I8" s="9" t="n">
        <v>1</v>
      </c>
      <c r="J8" s="9" t="n">
        <v>0</v>
      </c>
      <c r="K8" s="9" t="n">
        <v>0</v>
      </c>
      <c r="L8" s="9" t="n">
        <v>0</v>
      </c>
      <c r="M8" s="8" t="s">
        <v>35</v>
      </c>
      <c r="N8" s="8" t="s">
        <v>35</v>
      </c>
      <c r="O8" s="8" t="s">
        <v>35</v>
      </c>
      <c r="P8" s="10" t="n">
        <f aca="false">IF($B8="","",IF(AND($C8="Supporter",$E8=4),3,$E8))</f>
        <v>1</v>
      </c>
      <c r="Q8" s="11" t="n">
        <f aca="false">IF($B8="","",IF($G8&gt;0,$H8/$G8,0))</f>
        <v>0.23469387755102</v>
      </c>
      <c r="R8" s="12" t="n">
        <f aca="false">IF($B8="","",IF($G8&gt;0,$I8/$G8,0))</f>
        <v>0.00102040816326531</v>
      </c>
      <c r="S8" s="13" t="n">
        <f aca="false">IF($B8="","",IF($W8&lt;=1,100,COUNTIFS($C$5:$C$204,$C8,$P$5:$P$204,$P8,$F$5:$F$204,"&lt;"&amp;$F8)/($W8-1)*100))</f>
        <v>100</v>
      </c>
      <c r="T8" s="13" t="n">
        <f aca="false">IF($B8="","",IF($C8="Supporter","-",IF($W8&lt;=1,100,COUNTIFS($C$5:$C$204,$C8,$P$5:$P$204,$P8,$Q$5:$Q$204,"&lt;"&amp;$Q8)/($W8-1)*100)))</f>
        <v>100</v>
      </c>
      <c r="U8" s="14" t="n">
        <f aca="false">IF($B8="","",IF($C8="Supporter",$S8,0.85*$S8+0.15*$T8))</f>
        <v>100</v>
      </c>
      <c r="V8" s="10" t="n">
        <f aca="false">IF($B8="","",COUNTIFS($C$5:$C$204,$C8,$P$5:$P$204,$P8,$U$5:$U$204,"&gt;"&amp;$U8)+1)</f>
        <v>1</v>
      </c>
      <c r="W8" s="10" t="n">
        <f aca="false">IF($B8="","",COUNTIFS($C$5:$C$204,$C8,$P$5:$P$204,$P8))</f>
        <v>5</v>
      </c>
      <c r="X8" s="15" t="n">
        <f aca="false">IF($B8="","",$V8/$W8)</f>
        <v>0.2</v>
      </c>
      <c r="Y8" s="10" t="str">
        <f aca="false">IF($B8="","",IF(AND($M8="Có",$J8&lt;=Nguong!$B$16,$K8&lt;=Nguong!$B$17,$L8&lt;=Nguong!$B$18,$R8&lt;=INDEX(Nguong!$B$4:$B$8,$D8)),"Đạt","Không đạt"))</f>
        <v>Đạt</v>
      </c>
      <c r="Z8" s="16" t="n">
        <f aca="false">IF($B8="","",IF($D8&gt;=5,"-",INDEX(IF($C8="Supporter",Nguong!$E$4:$E$8,Nguong!$C$4:$C$8),$D8+1)))</f>
        <v>0.35</v>
      </c>
      <c r="AA8" s="16" t="n">
        <f aca="false">IF($B8="","",INDEX(IF($C8="Supporter",Nguong!$F$4:$F$8,Nguong!$D$4:$D$8),$D8))</f>
        <v>1</v>
      </c>
      <c r="AB8" s="17" t="str">
        <f aca="false">IF($B8="","",IF($Y8="Không đạt",IF($D8=1,"Không đạt ĐK cần – SM/GĐKV xem xét","Xuống Level "&amp;($D8-1)&amp;" (không đạt ĐK cần)"),IF(AND($D8&lt;5,$Z8&lt;&gt;"-",$X8&lt;=$Z8,$N8="Có",$O8="Có"),"Lên Level "&amp;($D8+1),IF($X8&lt;=$AA8,"Giữ Level "&amp;$D8,"Xuống Level "&amp;($D8-1)&amp;" (ngoài ngưỡng giữ)"))))</f>
        <v>Lên Level 2</v>
      </c>
    </row>
    <row r="9" customFormat="false" ht="15" hidden="false" customHeight="false" outlineLevel="0" collapsed="false">
      <c r="A9" s="7" t="n">
        <v>5</v>
      </c>
      <c r="B9" s="7" t="s">
        <v>40</v>
      </c>
      <c r="C9" s="8" t="s">
        <v>34</v>
      </c>
      <c r="D9" s="8" t="n">
        <v>2</v>
      </c>
      <c r="E9" s="8" t="n">
        <v>1</v>
      </c>
      <c r="F9" s="9" t="n">
        <v>180000000</v>
      </c>
      <c r="G9" s="9" t="n">
        <v>640</v>
      </c>
      <c r="H9" s="9" t="n">
        <v>20</v>
      </c>
      <c r="I9" s="9" t="n">
        <v>1</v>
      </c>
      <c r="J9" s="9" t="n">
        <v>0</v>
      </c>
      <c r="K9" s="9" t="n">
        <v>0</v>
      </c>
      <c r="L9" s="9" t="n">
        <v>2</v>
      </c>
      <c r="M9" s="8" t="s">
        <v>35</v>
      </c>
      <c r="N9" s="8" t="s">
        <v>38</v>
      </c>
      <c r="O9" s="8" t="s">
        <v>35</v>
      </c>
      <c r="P9" s="10" t="n">
        <f aca="false">IF($B9="","",IF(AND($C9="Supporter",$E9=4),3,$E9))</f>
        <v>1</v>
      </c>
      <c r="Q9" s="11" t="n">
        <f aca="false">IF($B9="","",IF($G9&gt;0,$H9/$G9,0))</f>
        <v>0.03125</v>
      </c>
      <c r="R9" s="12" t="n">
        <f aca="false">IF($B9="","",IF($G9&gt;0,$I9/$G9,0))</f>
        <v>0.0015625</v>
      </c>
      <c r="S9" s="13" t="n">
        <f aca="false">IF($B9="","",IF($W9&lt;=1,100,COUNTIFS($C$5:$C$204,$C9,$P$5:$P$204,$P9,$F$5:$F$204,"&lt;"&amp;$F9)/($W9-1)*100))</f>
        <v>0</v>
      </c>
      <c r="T9" s="13" t="n">
        <f aca="false">IF($B9="","",IF($C9="Supporter","-",IF($W9&lt;=1,100,COUNTIFS($C$5:$C$204,$C9,$P$5:$P$204,$P9,$Q$5:$Q$204,"&lt;"&amp;$Q9)/($W9-1)*100)))</f>
        <v>0</v>
      </c>
      <c r="U9" s="14" t="n">
        <f aca="false">IF($B9="","",IF($C9="Supporter",$S9,0.85*$S9+0.15*$T9))</f>
        <v>0</v>
      </c>
      <c r="V9" s="10" t="n">
        <f aca="false">IF($B9="","",COUNTIFS($C$5:$C$204,$C9,$P$5:$P$204,$P9,$U$5:$U$204,"&gt;"&amp;$U9)+1)</f>
        <v>5</v>
      </c>
      <c r="W9" s="10" t="n">
        <f aca="false">IF($B9="","",COUNTIFS($C$5:$C$204,$C9,$P$5:$P$204,$P9))</f>
        <v>5</v>
      </c>
      <c r="X9" s="15" t="n">
        <f aca="false">IF($B9="","",$V9/$W9)</f>
        <v>1</v>
      </c>
      <c r="Y9" s="10" t="str">
        <f aca="false">IF($B9="","",IF(AND($M9="Có",$J9&lt;=Nguong!$B$16,$K9&lt;=Nguong!$B$17,$L9&lt;=Nguong!$B$18,$R9&lt;=INDEX(Nguong!$B$4:$B$8,$D9)),"Đạt","Không đạt"))</f>
        <v>Đạt</v>
      </c>
      <c r="Z9" s="16" t="n">
        <f aca="false">IF($B9="","",IF($D9&gt;=5,"-",INDEX(IF($C9="Supporter",Nguong!$E$4:$E$8,Nguong!$C$4:$C$8),$D9+1)))</f>
        <v>0.15</v>
      </c>
      <c r="AA9" s="16" t="n">
        <f aca="false">IF($B9="","",INDEX(IF($C9="Supporter",Nguong!$F$4:$F$8,Nguong!$D$4:$D$8),$D9))</f>
        <v>0.5</v>
      </c>
      <c r="AB9" s="17" t="str">
        <f aca="false">IF($B9="","",IF($Y9="Không đạt",IF($D9=1,"Không đạt ĐK cần – SM/GĐKV xem xét","Xuống Level "&amp;($D9-1)&amp;" (không đạt ĐK cần)"),IF(AND($D9&lt;5,$Z9&lt;&gt;"-",$X9&lt;=$Z9,$N9="Có",$O9="Có"),"Lên Level "&amp;($D9+1),IF($X9&lt;=$AA9,"Giữ Level "&amp;$D9,"Xuống Level "&amp;($D9-1)&amp;" (ngoài ngưỡng giữ)"))))</f>
        <v>Xuống Level 1 (ngoài ngưỡng giữ)</v>
      </c>
    </row>
    <row r="10" customFormat="false" ht="15" hidden="false" customHeight="false" outlineLevel="0" collapsed="false">
      <c r="A10" s="7" t="n">
        <v>6</v>
      </c>
      <c r="B10" s="7" t="s">
        <v>41</v>
      </c>
      <c r="C10" s="8" t="s">
        <v>42</v>
      </c>
      <c r="D10" s="8" t="n">
        <v>1</v>
      </c>
      <c r="E10" s="8" t="n">
        <v>1</v>
      </c>
      <c r="F10" s="9" t="n">
        <v>150000000</v>
      </c>
      <c r="G10" s="9" t="n">
        <v>800</v>
      </c>
      <c r="H10" s="9" t="n">
        <v>90</v>
      </c>
      <c r="I10" s="9" t="n">
        <v>1</v>
      </c>
      <c r="J10" s="9" t="n">
        <v>0</v>
      </c>
      <c r="K10" s="9" t="n">
        <v>0</v>
      </c>
      <c r="L10" s="9" t="n">
        <v>0</v>
      </c>
      <c r="M10" s="8" t="s">
        <v>35</v>
      </c>
      <c r="N10" s="8" t="s">
        <v>35</v>
      </c>
      <c r="O10" s="8" t="s">
        <v>35</v>
      </c>
      <c r="P10" s="10" t="n">
        <f aca="false">IF($B10="","",IF(AND($C10="Supporter",$E10=4),3,$E10))</f>
        <v>1</v>
      </c>
      <c r="Q10" s="11" t="n">
        <f aca="false">IF($B10="","",IF($G10&gt;0,$H10/$G10,0))</f>
        <v>0.1125</v>
      </c>
      <c r="R10" s="12" t="n">
        <f aca="false">IF($B10="","",IF($G10&gt;0,$I10/$G10,0))</f>
        <v>0.00125</v>
      </c>
      <c r="S10" s="13" t="n">
        <f aca="false">IF($B10="","",IF($W10&lt;=1,100,COUNTIFS($C$5:$C$204,$C10,$P$5:$P$204,$P10,$F$5:$F$204,"&lt;"&amp;$F10)/($W10-1)*100))</f>
        <v>100</v>
      </c>
      <c r="T10" s="13" t="n">
        <f aca="false">IF($B10="","",IF($C10="Supporter","-",IF($W10&lt;=1,100,COUNTIFS($C$5:$C$204,$C10,$P$5:$P$204,$P10,$Q$5:$Q$204,"&lt;"&amp;$Q10)/($W10-1)*100)))</f>
        <v>100</v>
      </c>
      <c r="U10" s="14" t="n">
        <f aca="false">IF($B10="","",IF($C10="Supporter",$S10,0.85*$S10+0.15*$T10))</f>
        <v>100</v>
      </c>
      <c r="V10" s="10" t="n">
        <f aca="false">IF($B10="","",COUNTIFS($C$5:$C$204,$C10,$P$5:$P$204,$P10,$U$5:$U$204,"&gt;"&amp;$U10)+1)</f>
        <v>1</v>
      </c>
      <c r="W10" s="10" t="n">
        <f aca="false">IF($B10="","",COUNTIFS($C$5:$C$204,$C10,$P$5:$P$204,$P10))</f>
        <v>2</v>
      </c>
      <c r="X10" s="15" t="n">
        <f aca="false">IF($B10="","",$V10/$W10)</f>
        <v>0.5</v>
      </c>
      <c r="Y10" s="10" t="str">
        <f aca="false">IF($B10="","",IF(AND($M10="Có",$J10&lt;=Nguong!$B$16,$K10&lt;=Nguong!$B$17,$L10&lt;=Nguong!$B$18,$R10&lt;=INDEX(Nguong!$B$4:$B$8,$D10)),"Đạt","Không đạt"))</f>
        <v>Đạt</v>
      </c>
      <c r="Z10" s="16" t="n">
        <f aca="false">IF($B10="","",IF($D10&gt;=5,"-",INDEX(IF($C10="Supporter",Nguong!$E$4:$E$8,Nguong!$C$4:$C$8),$D10+1)))</f>
        <v>0.35</v>
      </c>
      <c r="AA10" s="16" t="n">
        <f aca="false">IF($B10="","",INDEX(IF($C10="Supporter",Nguong!$F$4:$F$8,Nguong!$D$4:$D$8),$D10))</f>
        <v>1</v>
      </c>
      <c r="AB10" s="17" t="str">
        <f aca="false">IF($B10="","",IF($Y10="Không đạt",IF($D10=1,"Không đạt ĐK cần – SM/GĐKV xem xét","Xuống Level "&amp;($D10-1)&amp;" (không đạt ĐK cần)"),IF(AND($D10&lt;5,$Z10&lt;&gt;"-",$X10&lt;=$Z10,$N10="Có",$O10="Có"),"Lên Level "&amp;($D10+1),IF($X10&lt;=$AA10,"Giữ Level "&amp;$D10,"Xuống Level "&amp;($D10-1)&amp;" (ngoài ngưỡng giữ)"))))</f>
        <v>Giữ Level 1</v>
      </c>
    </row>
    <row r="11" customFormat="false" ht="15" hidden="false" customHeight="false" outlineLevel="0" collapsed="false">
      <c r="A11" s="7" t="n">
        <v>7</v>
      </c>
      <c r="B11" s="7" t="s">
        <v>43</v>
      </c>
      <c r="C11" s="8" t="s">
        <v>42</v>
      </c>
      <c r="D11" s="8" t="n">
        <v>2</v>
      </c>
      <c r="E11" s="8" t="n">
        <v>1</v>
      </c>
      <c r="F11" s="9" t="n">
        <v>120000000</v>
      </c>
      <c r="G11" s="9" t="n">
        <v>760</v>
      </c>
      <c r="H11" s="9" t="n">
        <v>50</v>
      </c>
      <c r="I11" s="9" t="n">
        <v>2</v>
      </c>
      <c r="J11" s="9" t="n">
        <v>0</v>
      </c>
      <c r="K11" s="9" t="n">
        <v>0</v>
      </c>
      <c r="L11" s="9" t="n">
        <v>1</v>
      </c>
      <c r="M11" s="8" t="s">
        <v>35</v>
      </c>
      <c r="N11" s="8" t="s">
        <v>35</v>
      </c>
      <c r="O11" s="8" t="s">
        <v>35</v>
      </c>
      <c r="P11" s="10" t="n">
        <f aca="false">IF($B11="","",IF(AND($C11="Supporter",$E11=4),3,$E11))</f>
        <v>1</v>
      </c>
      <c r="Q11" s="11" t="n">
        <f aca="false">IF($B11="","",IF($G11&gt;0,$H11/$G11,0))</f>
        <v>0.0657894736842105</v>
      </c>
      <c r="R11" s="12" t="n">
        <f aca="false">IF($B11="","",IF($G11&gt;0,$I11/$G11,0))</f>
        <v>0.00263157894736842</v>
      </c>
      <c r="S11" s="13" t="n">
        <f aca="false">IF($B11="","",IF($W11&lt;=1,100,COUNTIFS($C$5:$C$204,$C11,$P$5:$P$204,$P11,$F$5:$F$204,"&lt;"&amp;$F11)/($W11-1)*100))</f>
        <v>0</v>
      </c>
      <c r="T11" s="13" t="n">
        <f aca="false">IF($B11="","",IF($C11="Supporter","-",IF($W11&lt;=1,100,COUNTIFS($C$5:$C$204,$C11,$P$5:$P$204,$P11,$Q$5:$Q$204,"&lt;"&amp;$Q11)/($W11-1)*100)))</f>
        <v>0</v>
      </c>
      <c r="U11" s="14" t="n">
        <f aca="false">IF($B11="","",IF($C11="Supporter",$S11,0.85*$S11+0.15*$T11))</f>
        <v>0</v>
      </c>
      <c r="V11" s="10" t="n">
        <f aca="false">IF($B11="","",COUNTIFS($C$5:$C$204,$C11,$P$5:$P$204,$P11,$U$5:$U$204,"&gt;"&amp;$U11)+1)</f>
        <v>2</v>
      </c>
      <c r="W11" s="10" t="n">
        <f aca="false">IF($B11="","",COUNTIFS($C$5:$C$204,$C11,$P$5:$P$204,$P11))</f>
        <v>2</v>
      </c>
      <c r="X11" s="15" t="n">
        <f aca="false">IF($B11="","",$V11/$W11)</f>
        <v>1</v>
      </c>
      <c r="Y11" s="10" t="str">
        <f aca="false">IF($B11="","",IF(AND($M11="Có",$J11&lt;=Nguong!$B$16,$K11&lt;=Nguong!$B$17,$L11&lt;=Nguong!$B$18,$R11&lt;=INDEX(Nguong!$B$4:$B$8,$D11)),"Đạt","Không đạt"))</f>
        <v>Đạt</v>
      </c>
      <c r="Z11" s="16" t="n">
        <f aca="false">IF($B11="","",IF($D11&gt;=5,"-",INDEX(IF($C11="Supporter",Nguong!$E$4:$E$8,Nguong!$C$4:$C$8),$D11+1)))</f>
        <v>0.15</v>
      </c>
      <c r="AA11" s="16" t="n">
        <f aca="false">IF($B11="","",INDEX(IF($C11="Supporter",Nguong!$F$4:$F$8,Nguong!$D$4:$D$8),$D11))</f>
        <v>0.5</v>
      </c>
      <c r="AB11" s="17" t="str">
        <f aca="false">IF($B11="","",IF($Y11="Không đạt",IF($D11=1,"Không đạt ĐK cần – SM/GĐKV xem xét","Xuống Level "&amp;($D11-1)&amp;" (không đạt ĐK cần)"),IF(AND($D11&lt;5,$Z11&lt;&gt;"-",$X11&lt;=$Z11,$N11="Có",$O11="Có"),"Lên Level "&amp;($D11+1),IF($X11&lt;=$AA11,"Giữ Level "&amp;$D11,"Xuống Level "&amp;($D11-1)&amp;" (ngoài ngưỡng giữ)"))))</f>
        <v>Xuống Level 1 (ngoài ngưỡng giữ)</v>
      </c>
    </row>
    <row r="12" customFormat="false" ht="15" hidden="false" customHeight="false" outlineLevel="0" collapsed="false">
      <c r="A12" s="7" t="n">
        <v>8</v>
      </c>
      <c r="B12" s="7" t="s">
        <v>44</v>
      </c>
      <c r="C12" s="8" t="s">
        <v>45</v>
      </c>
      <c r="D12" s="8" t="n">
        <v>2</v>
      </c>
      <c r="E12" s="8" t="n">
        <v>1</v>
      </c>
      <c r="F12" s="9" t="n">
        <v>60000000</v>
      </c>
      <c r="G12" s="9" t="n">
        <v>900</v>
      </c>
      <c r="H12" s="9" t="n">
        <v>0</v>
      </c>
      <c r="I12" s="9" t="n">
        <v>1</v>
      </c>
      <c r="J12" s="9" t="n">
        <v>0</v>
      </c>
      <c r="K12" s="9" t="n">
        <v>0</v>
      </c>
      <c r="L12" s="9" t="n">
        <v>0</v>
      </c>
      <c r="M12" s="8" t="s">
        <v>35</v>
      </c>
      <c r="N12" s="8" t="s">
        <v>35</v>
      </c>
      <c r="O12" s="8" t="s">
        <v>35</v>
      </c>
      <c r="P12" s="10" t="n">
        <f aca="false">IF($B12="","",IF(AND($C12="Supporter",$E12=4),3,$E12))</f>
        <v>1</v>
      </c>
      <c r="Q12" s="11" t="n">
        <f aca="false">IF($B12="","",IF($G12&gt;0,$H12/$G12,0))</f>
        <v>0</v>
      </c>
      <c r="R12" s="12" t="n">
        <f aca="false">IF($B12="","",IF($G12&gt;0,$I12/$G12,0))</f>
        <v>0.00111111111111111</v>
      </c>
      <c r="S12" s="13" t="n">
        <f aca="false">IF($B12="","",IF($W12&lt;=1,100,COUNTIFS($C$5:$C$204,$C12,$P$5:$P$204,$P12,$F$5:$F$204,"&lt;"&amp;$F12)/($W12-1)*100))</f>
        <v>100</v>
      </c>
      <c r="T12" s="13" t="str">
        <f aca="false">IF($B12="","",IF($C12="Supporter","-",IF($W12&lt;=1,100,COUNTIFS($C$5:$C$204,$C12,$P$5:$P$204,$P12,$Q$5:$Q$204,"&lt;"&amp;$Q12)/($W12-1)*100)))</f>
        <v>-</v>
      </c>
      <c r="U12" s="14" t="n">
        <f aca="false">IF($B12="","",IF($C12="Supporter",$S12,0.85*$S12+0.15*$T12))</f>
        <v>100</v>
      </c>
      <c r="V12" s="10" t="n">
        <f aca="false">IF($B12="","",COUNTIFS($C$5:$C$204,$C12,$P$5:$P$204,$P12,$U$5:$U$204,"&gt;"&amp;$U12)+1)</f>
        <v>1</v>
      </c>
      <c r="W12" s="10" t="n">
        <f aca="false">IF($B12="","",COUNTIFS($C$5:$C$204,$C12,$P$5:$P$204,$P12))</f>
        <v>2</v>
      </c>
      <c r="X12" s="15" t="n">
        <f aca="false">IF($B12="","",$V12/$W12)</f>
        <v>0.5</v>
      </c>
      <c r="Y12" s="10" t="str">
        <f aca="false">IF($B12="","",IF(AND($M12="Có",$J12&lt;=Nguong!$B$16,$K12&lt;=Nguong!$B$17,$L12&lt;=Nguong!$B$18,$R12&lt;=INDEX(Nguong!$B$4:$B$8,$D12)),"Đạt","Không đạt"))</f>
        <v>Đạt</v>
      </c>
      <c r="Z12" s="16" t="n">
        <f aca="false">IF($B12="","",IF($D12&gt;=5,"-",INDEX(IF($C12="Supporter",Nguong!$E$4:$E$8,Nguong!$C$4:$C$8),$D12+1)))</f>
        <v>0.2</v>
      </c>
      <c r="AA12" s="16" t="n">
        <f aca="false">IF($B12="","",INDEX(IF($C12="Supporter",Nguong!$F$4:$F$8,Nguong!$D$4:$D$8),$D12))</f>
        <v>0.8</v>
      </c>
      <c r="AB12" s="17" t="str">
        <f aca="false">IF($B12="","",IF($Y12="Không đạt",IF($D12=1,"Không đạt ĐK cần – SM/GĐKV xem xét","Xuống Level "&amp;($D12-1)&amp;" (không đạt ĐK cần)"),IF(AND($D12&lt;5,$Z12&lt;&gt;"-",$X12&lt;=$Z12,$N12="Có",$O12="Có"),"Lên Level "&amp;($D12+1),IF($X12&lt;=$AA12,"Giữ Level "&amp;$D12,"Xuống Level "&amp;($D12-1)&amp;" (ngoài ngưỡng giữ)"))))</f>
        <v>Giữ Level 2</v>
      </c>
    </row>
    <row r="13" customFormat="false" ht="15" hidden="false" customHeight="false" outlineLevel="0" collapsed="false">
      <c r="A13" s="7" t="n">
        <v>9</v>
      </c>
      <c r="B13" s="7" t="s">
        <v>46</v>
      </c>
      <c r="C13" s="8" t="s">
        <v>45</v>
      </c>
      <c r="D13" s="8" t="n">
        <v>3</v>
      </c>
      <c r="E13" s="8" t="n">
        <v>1</v>
      </c>
      <c r="F13" s="9" t="n">
        <v>40000000</v>
      </c>
      <c r="G13" s="9" t="n">
        <v>850</v>
      </c>
      <c r="H13" s="9" t="n">
        <v>0</v>
      </c>
      <c r="I13" s="9" t="n">
        <v>1</v>
      </c>
      <c r="J13" s="9" t="n">
        <v>0</v>
      </c>
      <c r="K13" s="9" t="n">
        <v>0</v>
      </c>
      <c r="L13" s="9" t="n">
        <v>0</v>
      </c>
      <c r="M13" s="8" t="s">
        <v>35</v>
      </c>
      <c r="N13" s="8" t="s">
        <v>35</v>
      </c>
      <c r="O13" s="8" t="s">
        <v>35</v>
      </c>
      <c r="P13" s="10" t="n">
        <f aca="false">IF($B13="","",IF(AND($C13="Supporter",$E13=4),3,$E13))</f>
        <v>1</v>
      </c>
      <c r="Q13" s="11" t="n">
        <f aca="false">IF($B13="","",IF($G13&gt;0,$H13/$G13,0))</f>
        <v>0</v>
      </c>
      <c r="R13" s="12" t="n">
        <f aca="false">IF($B13="","",IF($G13&gt;0,$I13/$G13,0))</f>
        <v>0.00117647058823529</v>
      </c>
      <c r="S13" s="13" t="n">
        <f aca="false">IF($B13="","",IF($W13&lt;=1,100,COUNTIFS($C$5:$C$204,$C13,$P$5:$P$204,$P13,$F$5:$F$204,"&lt;"&amp;$F13)/($W13-1)*100))</f>
        <v>0</v>
      </c>
      <c r="T13" s="13" t="str">
        <f aca="false">IF($B13="","",IF($C13="Supporter","-",IF($W13&lt;=1,100,COUNTIFS($C$5:$C$204,$C13,$P$5:$P$204,$P13,$Q$5:$Q$204,"&lt;"&amp;$Q13)/($W13-1)*100)))</f>
        <v>-</v>
      </c>
      <c r="U13" s="14" t="n">
        <f aca="false">IF($B13="","",IF($C13="Supporter",$S13,0.85*$S13+0.15*$T13))</f>
        <v>0</v>
      </c>
      <c r="V13" s="10" t="n">
        <f aca="false">IF($B13="","",COUNTIFS($C$5:$C$204,$C13,$P$5:$P$204,$P13,$U$5:$U$204,"&gt;"&amp;$U13)+1)</f>
        <v>2</v>
      </c>
      <c r="W13" s="10" t="n">
        <f aca="false">IF($B13="","",COUNTIFS($C$5:$C$204,$C13,$P$5:$P$204,$P13))</f>
        <v>2</v>
      </c>
      <c r="X13" s="15" t="n">
        <f aca="false">IF($B13="","",$V13/$W13)</f>
        <v>1</v>
      </c>
      <c r="Y13" s="10" t="str">
        <f aca="false">IF($B13="","",IF(AND($M13="Có",$J13&lt;=Nguong!$B$16,$K13&lt;=Nguong!$B$17,$L13&lt;=Nguong!$B$18,$R13&lt;=INDEX(Nguong!$B$4:$B$8,$D13)),"Đạt","Không đạt"))</f>
        <v>Đạt</v>
      </c>
      <c r="Z13" s="16" t="n">
        <f aca="false">IF($B13="","",IF($D13&gt;=5,"-",INDEX(IF($C13="Supporter",Nguong!$E$4:$E$8,Nguong!$C$4:$C$8),$D13+1)))</f>
        <v>0.1</v>
      </c>
      <c r="AA13" s="16" t="n">
        <f aca="false">IF($B13="","",INDEX(IF($C13="Supporter",Nguong!$F$4:$F$8,Nguong!$D$4:$D$8),$D13))</f>
        <v>0.3</v>
      </c>
      <c r="AB13" s="17" t="str">
        <f aca="false">IF($B13="","",IF($Y13="Không đạt",IF($D13=1,"Không đạt ĐK cần – SM/GĐKV xem xét","Xuống Level "&amp;($D13-1)&amp;" (không đạt ĐK cần)"),IF(AND($D13&lt;5,$Z13&lt;&gt;"-",$X13&lt;=$Z13,$N13="Có",$O13="Có"),"Lên Level "&amp;($D13+1),IF($X13&lt;=$AA13,"Giữ Level "&amp;$D13,"Xuống Level "&amp;($D13-1)&amp;" (ngoài ngưỡng giữ)"))))</f>
        <v>Xuống Level 2 (ngoài ngưỡng giữ)</v>
      </c>
    </row>
    <row r="14" customFormat="false" ht="15" hidden="false" customHeight="false" outlineLevel="0" collapsed="false">
      <c r="A14" s="7"/>
      <c r="B14" s="7"/>
      <c r="C14" s="8"/>
      <c r="D14" s="8"/>
      <c r="E14" s="8"/>
      <c r="F14" s="9"/>
      <c r="G14" s="9"/>
      <c r="H14" s="9"/>
      <c r="I14" s="9"/>
      <c r="J14" s="9"/>
      <c r="K14" s="9"/>
      <c r="L14" s="9"/>
      <c r="M14" s="8"/>
      <c r="N14" s="8"/>
      <c r="O14" s="8"/>
      <c r="P14" s="10" t="str">
        <f aca="false">IF($B14="","",IF(AND($C14="Supporter",$E14=4),3,$E14))</f>
        <v/>
      </c>
      <c r="Q14" s="11" t="str">
        <f aca="false">IF($B14="","",IF($G14&gt;0,$H14/$G14,0))</f>
        <v/>
      </c>
      <c r="R14" s="12" t="str">
        <f aca="false">IF($B14="","",IF($G14&gt;0,$I14/$G14,0))</f>
        <v/>
      </c>
      <c r="S14" s="13" t="str">
        <f aca="false">IF($B14="","",IF($W14&lt;=1,100,COUNTIFS($C$5:$C$204,$C14,$P$5:$P$204,$P14,$F$5:$F$204,"&lt;"&amp;$F14)/($W14-1)*100))</f>
        <v/>
      </c>
      <c r="T14" s="13" t="str">
        <f aca="false">IF($B14="","",IF($C14="Supporter","-",IF($W14&lt;=1,100,COUNTIFS($C$5:$C$204,$C14,$P$5:$P$204,$P14,$Q$5:$Q$204,"&lt;"&amp;$Q14)/($W14-1)*100)))</f>
        <v/>
      </c>
      <c r="U14" s="14" t="str">
        <f aca="false">IF($B14="","",IF($C14="Supporter",$S14,0.85*$S14+0.15*$T14))</f>
        <v/>
      </c>
      <c r="V14" s="10" t="str">
        <f aca="false">IF($B14="","",COUNTIFS($C$5:$C$204,$C14,$P$5:$P$204,$P14,$U$5:$U$204,"&gt;"&amp;$U14)+1)</f>
        <v/>
      </c>
      <c r="W14" s="10" t="str">
        <f aca="false">IF($B14="","",COUNTIFS($C$5:$C$204,$C14,$P$5:$P$204,$P14))</f>
        <v/>
      </c>
      <c r="X14" s="15" t="str">
        <f aca="false">IF($B14="","",$V14/$W14)</f>
        <v/>
      </c>
      <c r="Y14" s="10" t="str">
        <f aca="false">IF($B14="","",IF(AND($M14="Có",$J14&lt;=Nguong!$B$16,$K14&lt;=Nguong!$B$17,$L14&lt;=Nguong!$B$18,$R14&lt;=INDEX(Nguong!$B$4:$B$8,$D14)),"Đạt","Không đạt"))</f>
        <v/>
      </c>
      <c r="Z14" s="16" t="str">
        <f aca="false">IF($B14="","",IF($D14&gt;=5,"-",INDEX(IF($C14="Supporter",Nguong!$E$4:$E$8,Nguong!$C$4:$C$8),$D14+1)))</f>
        <v/>
      </c>
      <c r="AA14" s="16" t="str">
        <f aca="false">IF($B14="","",INDEX(IF($C14="Supporter",Nguong!$F$4:$F$8,Nguong!$D$4:$D$8),$D14))</f>
        <v/>
      </c>
      <c r="AB14" s="17" t="str">
        <f aca="false">IF($B14="","",IF($Y14="Không đạt",IF($D14=1,"Không đạt ĐK cần – SM/GĐKV xem xét","Xuống Level "&amp;($D14-1)&amp;" (không đạt ĐK cần)"),IF(AND($D14&lt;5,$Z14&lt;&gt;"-",$X14&lt;=$Z14,$N14="Có",$O14="Có"),"Lên Level "&amp;($D14+1),IF($X14&lt;=$AA14,"Giữ Level "&amp;$D14,"Xuống Level "&amp;($D14-1)&amp;" (ngoài ngưỡng giữ)"))))</f>
        <v/>
      </c>
    </row>
    <row r="15" customFormat="false" ht="15" hidden="false" customHeight="false" outlineLevel="0" collapsed="false">
      <c r="A15" s="7"/>
      <c r="B15" s="7"/>
      <c r="C15" s="8"/>
      <c r="D15" s="8"/>
      <c r="E15" s="8"/>
      <c r="F15" s="9"/>
      <c r="G15" s="9"/>
      <c r="H15" s="9"/>
      <c r="I15" s="9"/>
      <c r="J15" s="9"/>
      <c r="K15" s="9"/>
      <c r="L15" s="9"/>
      <c r="M15" s="8"/>
      <c r="N15" s="8"/>
      <c r="O15" s="8"/>
      <c r="P15" s="10" t="str">
        <f aca="false">IF($B15="","",IF(AND($C15="Supporter",$E15=4),3,$E15))</f>
        <v/>
      </c>
      <c r="Q15" s="11" t="str">
        <f aca="false">IF($B15="","",IF($G15&gt;0,$H15/$G15,0))</f>
        <v/>
      </c>
      <c r="R15" s="12" t="str">
        <f aca="false">IF($B15="","",IF($G15&gt;0,$I15/$G15,0))</f>
        <v/>
      </c>
      <c r="S15" s="13" t="str">
        <f aca="false">IF($B15="","",IF($W15&lt;=1,100,COUNTIFS($C$5:$C$204,$C15,$P$5:$P$204,$P15,$F$5:$F$204,"&lt;"&amp;$F15)/($W15-1)*100))</f>
        <v/>
      </c>
      <c r="T15" s="13" t="str">
        <f aca="false">IF($B15="","",IF($C15="Supporter","-",IF($W15&lt;=1,100,COUNTIFS($C$5:$C$204,$C15,$P$5:$P$204,$P15,$Q$5:$Q$204,"&lt;"&amp;$Q15)/($W15-1)*100)))</f>
        <v/>
      </c>
      <c r="U15" s="14" t="str">
        <f aca="false">IF($B15="","",IF($C15="Supporter",$S15,0.85*$S15+0.15*$T15))</f>
        <v/>
      </c>
      <c r="V15" s="10" t="str">
        <f aca="false">IF($B15="","",COUNTIFS($C$5:$C$204,$C15,$P$5:$P$204,$P15,$U$5:$U$204,"&gt;"&amp;$U15)+1)</f>
        <v/>
      </c>
      <c r="W15" s="10" t="str">
        <f aca="false">IF($B15="","",COUNTIFS($C$5:$C$204,$C15,$P$5:$P$204,$P15))</f>
        <v/>
      </c>
      <c r="X15" s="15" t="str">
        <f aca="false">IF($B15="","",$V15/$W15)</f>
        <v/>
      </c>
      <c r="Y15" s="10" t="str">
        <f aca="false">IF($B15="","",IF(AND($M15="Có",$J15&lt;=Nguong!$B$16,$K15&lt;=Nguong!$B$17,$L15&lt;=Nguong!$B$18,$R15&lt;=INDEX(Nguong!$B$4:$B$8,$D15)),"Đạt","Không đạt"))</f>
        <v/>
      </c>
      <c r="Z15" s="16" t="str">
        <f aca="false">IF($B15="","",IF($D15&gt;=5,"-",INDEX(IF($C15="Supporter",Nguong!$E$4:$E$8,Nguong!$C$4:$C$8),$D15+1)))</f>
        <v/>
      </c>
      <c r="AA15" s="16" t="str">
        <f aca="false">IF($B15="","",INDEX(IF($C15="Supporter",Nguong!$F$4:$F$8,Nguong!$D$4:$D$8),$D15))</f>
        <v/>
      </c>
      <c r="AB15" s="17" t="str">
        <f aca="false">IF($B15="","",IF($Y15="Không đạt",IF($D15=1,"Không đạt ĐK cần – SM/GĐKV xem xét","Xuống Level "&amp;($D15-1)&amp;" (không đạt ĐK cần)"),IF(AND($D15&lt;5,$Z15&lt;&gt;"-",$X15&lt;=$Z15,$N15="Có",$O15="Có"),"Lên Level "&amp;($D15+1),IF($X15&lt;=$AA15,"Giữ Level "&amp;$D15,"Xuống Level "&amp;($D15-1)&amp;" (ngoài ngưỡng giữ)"))))</f>
        <v/>
      </c>
    </row>
    <row r="16" customFormat="false" ht="15" hidden="false" customHeight="false" outlineLevel="0" collapsed="false">
      <c r="A16" s="7"/>
      <c r="B16" s="7"/>
      <c r="C16" s="8"/>
      <c r="D16" s="8"/>
      <c r="E16" s="8"/>
      <c r="F16" s="9"/>
      <c r="G16" s="9"/>
      <c r="H16" s="9"/>
      <c r="I16" s="9"/>
      <c r="J16" s="9"/>
      <c r="K16" s="9"/>
      <c r="L16" s="9"/>
      <c r="M16" s="8"/>
      <c r="N16" s="8"/>
      <c r="O16" s="8"/>
      <c r="P16" s="10" t="str">
        <f aca="false">IF($B16="","",IF(AND($C16="Supporter",$E16=4),3,$E16))</f>
        <v/>
      </c>
      <c r="Q16" s="11" t="str">
        <f aca="false">IF($B16="","",IF($G16&gt;0,$H16/$G16,0))</f>
        <v/>
      </c>
      <c r="R16" s="12" t="str">
        <f aca="false">IF($B16="","",IF($G16&gt;0,$I16/$G16,0))</f>
        <v/>
      </c>
      <c r="S16" s="13" t="str">
        <f aca="false">IF($B16="","",IF($W16&lt;=1,100,COUNTIFS($C$5:$C$204,$C16,$P$5:$P$204,$P16,$F$5:$F$204,"&lt;"&amp;$F16)/($W16-1)*100))</f>
        <v/>
      </c>
      <c r="T16" s="13" t="str">
        <f aca="false">IF($B16="","",IF($C16="Supporter","-",IF($W16&lt;=1,100,COUNTIFS($C$5:$C$204,$C16,$P$5:$P$204,$P16,$Q$5:$Q$204,"&lt;"&amp;$Q16)/($W16-1)*100)))</f>
        <v/>
      </c>
      <c r="U16" s="14" t="str">
        <f aca="false">IF($B16="","",IF($C16="Supporter",$S16,0.85*$S16+0.15*$T16))</f>
        <v/>
      </c>
      <c r="V16" s="10" t="str">
        <f aca="false">IF($B16="","",COUNTIFS($C$5:$C$204,$C16,$P$5:$P$204,$P16,$U$5:$U$204,"&gt;"&amp;$U16)+1)</f>
        <v/>
      </c>
      <c r="W16" s="10" t="str">
        <f aca="false">IF($B16="","",COUNTIFS($C$5:$C$204,$C16,$P$5:$P$204,$P16))</f>
        <v/>
      </c>
      <c r="X16" s="15" t="str">
        <f aca="false">IF($B16="","",$V16/$W16)</f>
        <v/>
      </c>
      <c r="Y16" s="10" t="str">
        <f aca="false">IF($B16="","",IF(AND($M16="Có",$J16&lt;=Nguong!$B$16,$K16&lt;=Nguong!$B$17,$L16&lt;=Nguong!$B$18,$R16&lt;=INDEX(Nguong!$B$4:$B$8,$D16)),"Đạt","Không đạt"))</f>
        <v/>
      </c>
      <c r="Z16" s="16" t="str">
        <f aca="false">IF($B16="","",IF($D16&gt;=5,"-",INDEX(IF($C16="Supporter",Nguong!$E$4:$E$8,Nguong!$C$4:$C$8),$D16+1)))</f>
        <v/>
      </c>
      <c r="AA16" s="16" t="str">
        <f aca="false">IF($B16="","",INDEX(IF($C16="Supporter",Nguong!$F$4:$F$8,Nguong!$D$4:$D$8),$D16))</f>
        <v/>
      </c>
      <c r="AB16" s="17" t="str">
        <f aca="false">IF($B16="","",IF($Y16="Không đạt",IF($D16=1,"Không đạt ĐK cần – SM/GĐKV xem xét","Xuống Level "&amp;($D16-1)&amp;" (không đạt ĐK cần)"),IF(AND($D16&lt;5,$Z16&lt;&gt;"-",$X16&lt;=$Z16,$N16="Có",$O16="Có"),"Lên Level "&amp;($D16+1),IF($X16&lt;=$AA16,"Giữ Level "&amp;$D16,"Xuống Level "&amp;($D16-1)&amp;" (ngoài ngưỡng giữ)"))))</f>
        <v/>
      </c>
    </row>
    <row r="17" customFormat="false" ht="15" hidden="false" customHeight="false" outlineLevel="0" collapsed="false">
      <c r="A17" s="7"/>
      <c r="B17" s="7"/>
      <c r="C17" s="8"/>
      <c r="D17" s="8"/>
      <c r="E17" s="8"/>
      <c r="F17" s="9"/>
      <c r="G17" s="9"/>
      <c r="H17" s="9"/>
      <c r="I17" s="9"/>
      <c r="J17" s="9"/>
      <c r="K17" s="9"/>
      <c r="L17" s="9"/>
      <c r="M17" s="8"/>
      <c r="N17" s="8"/>
      <c r="O17" s="8"/>
      <c r="P17" s="10" t="str">
        <f aca="false">IF($B17="","",IF(AND($C17="Supporter",$E17=4),3,$E17))</f>
        <v/>
      </c>
      <c r="Q17" s="11" t="str">
        <f aca="false">IF($B17="","",IF($G17&gt;0,$H17/$G17,0))</f>
        <v/>
      </c>
      <c r="R17" s="12" t="str">
        <f aca="false">IF($B17="","",IF($G17&gt;0,$I17/$G17,0))</f>
        <v/>
      </c>
      <c r="S17" s="13" t="str">
        <f aca="false">IF($B17="","",IF($W17&lt;=1,100,COUNTIFS($C$5:$C$204,$C17,$P$5:$P$204,$P17,$F$5:$F$204,"&lt;"&amp;$F17)/($W17-1)*100))</f>
        <v/>
      </c>
      <c r="T17" s="13" t="str">
        <f aca="false">IF($B17="","",IF($C17="Supporter","-",IF($W17&lt;=1,100,COUNTIFS($C$5:$C$204,$C17,$P$5:$P$204,$P17,$Q$5:$Q$204,"&lt;"&amp;$Q17)/($W17-1)*100)))</f>
        <v/>
      </c>
      <c r="U17" s="14" t="str">
        <f aca="false">IF($B17="","",IF($C17="Supporter",$S17,0.85*$S17+0.15*$T17))</f>
        <v/>
      </c>
      <c r="V17" s="10" t="str">
        <f aca="false">IF($B17="","",COUNTIFS($C$5:$C$204,$C17,$P$5:$P$204,$P17,$U$5:$U$204,"&gt;"&amp;$U17)+1)</f>
        <v/>
      </c>
      <c r="W17" s="10" t="str">
        <f aca="false">IF($B17="","",COUNTIFS($C$5:$C$204,$C17,$P$5:$P$204,$P17))</f>
        <v/>
      </c>
      <c r="X17" s="15" t="str">
        <f aca="false">IF($B17="","",$V17/$W17)</f>
        <v/>
      </c>
      <c r="Y17" s="10" t="str">
        <f aca="false">IF($B17="","",IF(AND($M17="Có",$J17&lt;=Nguong!$B$16,$K17&lt;=Nguong!$B$17,$L17&lt;=Nguong!$B$18,$R17&lt;=INDEX(Nguong!$B$4:$B$8,$D17)),"Đạt","Không đạt"))</f>
        <v/>
      </c>
      <c r="Z17" s="16" t="str">
        <f aca="false">IF($B17="","",IF($D17&gt;=5,"-",INDEX(IF($C17="Supporter",Nguong!$E$4:$E$8,Nguong!$C$4:$C$8),$D17+1)))</f>
        <v/>
      </c>
      <c r="AA17" s="16" t="str">
        <f aca="false">IF($B17="","",INDEX(IF($C17="Supporter",Nguong!$F$4:$F$8,Nguong!$D$4:$D$8),$D17))</f>
        <v/>
      </c>
      <c r="AB17" s="17" t="str">
        <f aca="false">IF($B17="","",IF($Y17="Không đạt",IF($D17=1,"Không đạt ĐK cần – SM/GĐKV xem xét","Xuống Level "&amp;($D17-1)&amp;" (không đạt ĐK cần)"),IF(AND($D17&lt;5,$Z17&lt;&gt;"-",$X17&lt;=$Z17,$N17="Có",$O17="Có"),"Lên Level "&amp;($D17+1),IF($X17&lt;=$AA17,"Giữ Level "&amp;$D17,"Xuống Level "&amp;($D17-1)&amp;" (ngoài ngưỡng giữ)"))))</f>
        <v/>
      </c>
    </row>
    <row r="18" customFormat="false" ht="15" hidden="false" customHeight="false" outlineLevel="0" collapsed="false">
      <c r="A18" s="7"/>
      <c r="B18" s="7"/>
      <c r="C18" s="8"/>
      <c r="D18" s="8"/>
      <c r="E18" s="8"/>
      <c r="F18" s="9"/>
      <c r="G18" s="9"/>
      <c r="H18" s="9"/>
      <c r="I18" s="9"/>
      <c r="J18" s="9"/>
      <c r="K18" s="9"/>
      <c r="L18" s="9"/>
      <c r="M18" s="8"/>
      <c r="N18" s="8"/>
      <c r="O18" s="8"/>
      <c r="P18" s="10" t="str">
        <f aca="false">IF($B18="","",IF(AND($C18="Supporter",$E18=4),3,$E18))</f>
        <v/>
      </c>
      <c r="Q18" s="11" t="str">
        <f aca="false">IF($B18="","",IF($G18&gt;0,$H18/$G18,0))</f>
        <v/>
      </c>
      <c r="R18" s="12" t="str">
        <f aca="false">IF($B18="","",IF($G18&gt;0,$I18/$G18,0))</f>
        <v/>
      </c>
      <c r="S18" s="13" t="str">
        <f aca="false">IF($B18="","",IF($W18&lt;=1,100,COUNTIFS($C$5:$C$204,$C18,$P$5:$P$204,$P18,$F$5:$F$204,"&lt;"&amp;$F18)/($W18-1)*100))</f>
        <v/>
      </c>
      <c r="T18" s="13" t="str">
        <f aca="false">IF($B18="","",IF($C18="Supporter","-",IF($W18&lt;=1,100,COUNTIFS($C$5:$C$204,$C18,$P$5:$P$204,$P18,$Q$5:$Q$204,"&lt;"&amp;$Q18)/($W18-1)*100)))</f>
        <v/>
      </c>
      <c r="U18" s="14" t="str">
        <f aca="false">IF($B18="","",IF($C18="Supporter",$S18,0.85*$S18+0.15*$T18))</f>
        <v/>
      </c>
      <c r="V18" s="10" t="str">
        <f aca="false">IF($B18="","",COUNTIFS($C$5:$C$204,$C18,$P$5:$P$204,$P18,$U$5:$U$204,"&gt;"&amp;$U18)+1)</f>
        <v/>
      </c>
      <c r="W18" s="10" t="str">
        <f aca="false">IF($B18="","",COUNTIFS($C$5:$C$204,$C18,$P$5:$P$204,$P18))</f>
        <v/>
      </c>
      <c r="X18" s="15" t="str">
        <f aca="false">IF($B18="","",$V18/$W18)</f>
        <v/>
      </c>
      <c r="Y18" s="10" t="str">
        <f aca="false">IF($B18="","",IF(AND($M18="Có",$J18&lt;=Nguong!$B$16,$K18&lt;=Nguong!$B$17,$L18&lt;=Nguong!$B$18,$R18&lt;=INDEX(Nguong!$B$4:$B$8,$D18)),"Đạt","Không đạt"))</f>
        <v/>
      </c>
      <c r="Z18" s="16" t="str">
        <f aca="false">IF($B18="","",IF($D18&gt;=5,"-",INDEX(IF($C18="Supporter",Nguong!$E$4:$E$8,Nguong!$C$4:$C$8),$D18+1)))</f>
        <v/>
      </c>
      <c r="AA18" s="16" t="str">
        <f aca="false">IF($B18="","",INDEX(IF($C18="Supporter",Nguong!$F$4:$F$8,Nguong!$D$4:$D$8),$D18))</f>
        <v/>
      </c>
      <c r="AB18" s="17" t="str">
        <f aca="false">IF($B18="","",IF($Y18="Không đạt",IF($D18=1,"Không đạt ĐK cần – SM/GĐKV xem xét","Xuống Level "&amp;($D18-1)&amp;" (không đạt ĐK cần)"),IF(AND($D18&lt;5,$Z18&lt;&gt;"-",$X18&lt;=$Z18,$N18="Có",$O18="Có"),"Lên Level "&amp;($D18+1),IF($X18&lt;=$AA18,"Giữ Level "&amp;$D18,"Xuống Level "&amp;($D18-1)&amp;" (ngoài ngưỡng giữ)"))))</f>
        <v/>
      </c>
    </row>
    <row r="19" customFormat="false" ht="15" hidden="false" customHeight="false" outlineLevel="0" collapsed="false">
      <c r="A19" s="7"/>
      <c r="B19" s="7"/>
      <c r="C19" s="8"/>
      <c r="D19" s="8"/>
      <c r="E19" s="8"/>
      <c r="F19" s="9"/>
      <c r="G19" s="9"/>
      <c r="H19" s="9"/>
      <c r="I19" s="9"/>
      <c r="J19" s="9"/>
      <c r="K19" s="9"/>
      <c r="L19" s="9"/>
      <c r="M19" s="8"/>
      <c r="N19" s="8"/>
      <c r="O19" s="8"/>
      <c r="P19" s="10" t="str">
        <f aca="false">IF($B19="","",IF(AND($C19="Supporter",$E19=4),3,$E19))</f>
        <v/>
      </c>
      <c r="Q19" s="11" t="str">
        <f aca="false">IF($B19="","",IF($G19&gt;0,$H19/$G19,0))</f>
        <v/>
      </c>
      <c r="R19" s="12" t="str">
        <f aca="false">IF($B19="","",IF($G19&gt;0,$I19/$G19,0))</f>
        <v/>
      </c>
      <c r="S19" s="13" t="str">
        <f aca="false">IF($B19="","",IF($W19&lt;=1,100,COUNTIFS($C$5:$C$204,$C19,$P$5:$P$204,$P19,$F$5:$F$204,"&lt;"&amp;$F19)/($W19-1)*100))</f>
        <v/>
      </c>
      <c r="T19" s="13" t="str">
        <f aca="false">IF($B19="","",IF($C19="Supporter","-",IF($W19&lt;=1,100,COUNTIFS($C$5:$C$204,$C19,$P$5:$P$204,$P19,$Q$5:$Q$204,"&lt;"&amp;$Q19)/($W19-1)*100)))</f>
        <v/>
      </c>
      <c r="U19" s="14" t="str">
        <f aca="false">IF($B19="","",IF($C19="Supporter",$S19,0.85*$S19+0.15*$T19))</f>
        <v/>
      </c>
      <c r="V19" s="10" t="str">
        <f aca="false">IF($B19="","",COUNTIFS($C$5:$C$204,$C19,$P$5:$P$204,$P19,$U$5:$U$204,"&gt;"&amp;$U19)+1)</f>
        <v/>
      </c>
      <c r="W19" s="10" t="str">
        <f aca="false">IF($B19="","",COUNTIFS($C$5:$C$204,$C19,$P$5:$P$204,$P19))</f>
        <v/>
      </c>
      <c r="X19" s="15" t="str">
        <f aca="false">IF($B19="","",$V19/$W19)</f>
        <v/>
      </c>
      <c r="Y19" s="10" t="str">
        <f aca="false">IF($B19="","",IF(AND($M19="Có",$J19&lt;=Nguong!$B$16,$K19&lt;=Nguong!$B$17,$L19&lt;=Nguong!$B$18,$R19&lt;=INDEX(Nguong!$B$4:$B$8,$D19)),"Đạt","Không đạt"))</f>
        <v/>
      </c>
      <c r="Z19" s="16" t="str">
        <f aca="false">IF($B19="","",IF($D19&gt;=5,"-",INDEX(IF($C19="Supporter",Nguong!$E$4:$E$8,Nguong!$C$4:$C$8),$D19+1)))</f>
        <v/>
      </c>
      <c r="AA19" s="16" t="str">
        <f aca="false">IF($B19="","",INDEX(IF($C19="Supporter",Nguong!$F$4:$F$8,Nguong!$D$4:$D$8),$D19))</f>
        <v/>
      </c>
      <c r="AB19" s="17" t="str">
        <f aca="false">IF($B19="","",IF($Y19="Không đạt",IF($D19=1,"Không đạt ĐK cần – SM/GĐKV xem xét","Xuống Level "&amp;($D19-1)&amp;" (không đạt ĐK cần)"),IF(AND($D19&lt;5,$Z19&lt;&gt;"-",$X19&lt;=$Z19,$N19="Có",$O19="Có"),"Lên Level "&amp;($D19+1),IF($X19&lt;=$AA19,"Giữ Level "&amp;$D19,"Xuống Level "&amp;($D19-1)&amp;" (ngoài ngưỡng giữ)"))))</f>
        <v/>
      </c>
    </row>
    <row r="20" customFormat="false" ht="15" hidden="false" customHeight="false" outlineLevel="0" collapsed="false">
      <c r="A20" s="7"/>
      <c r="B20" s="7"/>
      <c r="C20" s="8"/>
      <c r="D20" s="8"/>
      <c r="E20" s="8"/>
      <c r="F20" s="9"/>
      <c r="G20" s="9"/>
      <c r="H20" s="9"/>
      <c r="I20" s="9"/>
      <c r="J20" s="9"/>
      <c r="K20" s="9"/>
      <c r="L20" s="9"/>
      <c r="M20" s="8"/>
      <c r="N20" s="8"/>
      <c r="O20" s="8"/>
      <c r="P20" s="10" t="str">
        <f aca="false">IF($B20="","",IF(AND($C20="Supporter",$E20=4),3,$E20))</f>
        <v/>
      </c>
      <c r="Q20" s="11" t="str">
        <f aca="false">IF($B20="","",IF($G20&gt;0,$H20/$G20,0))</f>
        <v/>
      </c>
      <c r="R20" s="12" t="str">
        <f aca="false">IF($B20="","",IF($G20&gt;0,$I20/$G20,0))</f>
        <v/>
      </c>
      <c r="S20" s="13" t="str">
        <f aca="false">IF($B20="","",IF($W20&lt;=1,100,COUNTIFS($C$5:$C$204,$C20,$P$5:$P$204,$P20,$F$5:$F$204,"&lt;"&amp;$F20)/($W20-1)*100))</f>
        <v/>
      </c>
      <c r="T20" s="13" t="str">
        <f aca="false">IF($B20="","",IF($C20="Supporter","-",IF($W20&lt;=1,100,COUNTIFS($C$5:$C$204,$C20,$P$5:$P$204,$P20,$Q$5:$Q$204,"&lt;"&amp;$Q20)/($W20-1)*100)))</f>
        <v/>
      </c>
      <c r="U20" s="14" t="str">
        <f aca="false">IF($B20="","",IF($C20="Supporter",$S20,0.85*$S20+0.15*$T20))</f>
        <v/>
      </c>
      <c r="V20" s="10" t="str">
        <f aca="false">IF($B20="","",COUNTIFS($C$5:$C$204,$C20,$P$5:$P$204,$P20,$U$5:$U$204,"&gt;"&amp;$U20)+1)</f>
        <v/>
      </c>
      <c r="W20" s="10" t="str">
        <f aca="false">IF($B20="","",COUNTIFS($C$5:$C$204,$C20,$P$5:$P$204,$P20))</f>
        <v/>
      </c>
      <c r="X20" s="15" t="str">
        <f aca="false">IF($B20="","",$V20/$W20)</f>
        <v/>
      </c>
      <c r="Y20" s="10" t="str">
        <f aca="false">IF($B20="","",IF(AND($M20="Có",$J20&lt;=Nguong!$B$16,$K20&lt;=Nguong!$B$17,$L20&lt;=Nguong!$B$18,$R20&lt;=INDEX(Nguong!$B$4:$B$8,$D20)),"Đạt","Không đạt"))</f>
        <v/>
      </c>
      <c r="Z20" s="16" t="str">
        <f aca="false">IF($B20="","",IF($D20&gt;=5,"-",INDEX(IF($C20="Supporter",Nguong!$E$4:$E$8,Nguong!$C$4:$C$8),$D20+1)))</f>
        <v/>
      </c>
      <c r="AA20" s="16" t="str">
        <f aca="false">IF($B20="","",INDEX(IF($C20="Supporter",Nguong!$F$4:$F$8,Nguong!$D$4:$D$8),$D20))</f>
        <v/>
      </c>
      <c r="AB20" s="17" t="str">
        <f aca="false">IF($B20="","",IF($Y20="Không đạt",IF($D20=1,"Không đạt ĐK cần – SM/GĐKV xem xét","Xuống Level "&amp;($D20-1)&amp;" (không đạt ĐK cần)"),IF(AND($D20&lt;5,$Z20&lt;&gt;"-",$X20&lt;=$Z20,$N20="Có",$O20="Có"),"Lên Level "&amp;($D20+1),IF($X20&lt;=$AA20,"Giữ Level "&amp;$D20,"Xuống Level "&amp;($D20-1)&amp;" (ngoài ngưỡng giữ)"))))</f>
        <v/>
      </c>
    </row>
    <row r="21" customFormat="false" ht="15" hidden="false" customHeight="false" outlineLevel="0" collapsed="false">
      <c r="A21" s="7"/>
      <c r="B21" s="7"/>
      <c r="C21" s="8"/>
      <c r="D21" s="8"/>
      <c r="E21" s="8"/>
      <c r="F21" s="9"/>
      <c r="G21" s="9"/>
      <c r="H21" s="9"/>
      <c r="I21" s="9"/>
      <c r="J21" s="9"/>
      <c r="K21" s="9"/>
      <c r="L21" s="9"/>
      <c r="M21" s="8"/>
      <c r="N21" s="8"/>
      <c r="O21" s="8"/>
      <c r="P21" s="10" t="str">
        <f aca="false">IF($B21="","",IF(AND($C21="Supporter",$E21=4),3,$E21))</f>
        <v/>
      </c>
      <c r="Q21" s="11" t="str">
        <f aca="false">IF($B21="","",IF($G21&gt;0,$H21/$G21,0))</f>
        <v/>
      </c>
      <c r="R21" s="12" t="str">
        <f aca="false">IF($B21="","",IF($G21&gt;0,$I21/$G21,0))</f>
        <v/>
      </c>
      <c r="S21" s="13" t="str">
        <f aca="false">IF($B21="","",IF($W21&lt;=1,100,COUNTIFS($C$5:$C$204,$C21,$P$5:$P$204,$P21,$F$5:$F$204,"&lt;"&amp;$F21)/($W21-1)*100))</f>
        <v/>
      </c>
      <c r="T21" s="13" t="str">
        <f aca="false">IF($B21="","",IF($C21="Supporter","-",IF($W21&lt;=1,100,COUNTIFS($C$5:$C$204,$C21,$P$5:$P$204,$P21,$Q$5:$Q$204,"&lt;"&amp;$Q21)/($W21-1)*100)))</f>
        <v/>
      </c>
      <c r="U21" s="14" t="str">
        <f aca="false">IF($B21="","",IF($C21="Supporter",$S21,0.85*$S21+0.15*$T21))</f>
        <v/>
      </c>
      <c r="V21" s="10" t="str">
        <f aca="false">IF($B21="","",COUNTIFS($C$5:$C$204,$C21,$P$5:$P$204,$P21,$U$5:$U$204,"&gt;"&amp;$U21)+1)</f>
        <v/>
      </c>
      <c r="W21" s="10" t="str">
        <f aca="false">IF($B21="","",COUNTIFS($C$5:$C$204,$C21,$P$5:$P$204,$P21))</f>
        <v/>
      </c>
      <c r="X21" s="15" t="str">
        <f aca="false">IF($B21="","",$V21/$W21)</f>
        <v/>
      </c>
      <c r="Y21" s="10" t="str">
        <f aca="false">IF($B21="","",IF(AND($M21="Có",$J21&lt;=Nguong!$B$16,$K21&lt;=Nguong!$B$17,$L21&lt;=Nguong!$B$18,$R21&lt;=INDEX(Nguong!$B$4:$B$8,$D21)),"Đạt","Không đạt"))</f>
        <v/>
      </c>
      <c r="Z21" s="16" t="str">
        <f aca="false">IF($B21="","",IF($D21&gt;=5,"-",INDEX(IF($C21="Supporter",Nguong!$E$4:$E$8,Nguong!$C$4:$C$8),$D21+1)))</f>
        <v/>
      </c>
      <c r="AA21" s="16" t="str">
        <f aca="false">IF($B21="","",INDEX(IF($C21="Supporter",Nguong!$F$4:$F$8,Nguong!$D$4:$D$8),$D21))</f>
        <v/>
      </c>
      <c r="AB21" s="17" t="str">
        <f aca="false">IF($B21="","",IF($Y21="Không đạt",IF($D21=1,"Không đạt ĐK cần – SM/GĐKV xem xét","Xuống Level "&amp;($D21-1)&amp;" (không đạt ĐK cần)"),IF(AND($D21&lt;5,$Z21&lt;&gt;"-",$X21&lt;=$Z21,$N21="Có",$O21="Có"),"Lên Level "&amp;($D21+1),IF($X21&lt;=$AA21,"Giữ Level "&amp;$D21,"Xuống Level "&amp;($D21-1)&amp;" (ngoài ngưỡng giữ)"))))</f>
        <v/>
      </c>
    </row>
    <row r="22" customFormat="false" ht="15" hidden="false" customHeight="false" outlineLevel="0" collapsed="false">
      <c r="A22" s="7"/>
      <c r="B22" s="7"/>
      <c r="C22" s="8"/>
      <c r="D22" s="8"/>
      <c r="E22" s="8"/>
      <c r="F22" s="9"/>
      <c r="G22" s="9"/>
      <c r="H22" s="9"/>
      <c r="I22" s="9"/>
      <c r="J22" s="9"/>
      <c r="K22" s="9"/>
      <c r="L22" s="9"/>
      <c r="M22" s="8"/>
      <c r="N22" s="8"/>
      <c r="O22" s="8"/>
      <c r="P22" s="10" t="str">
        <f aca="false">IF($B22="","",IF(AND($C22="Supporter",$E22=4),3,$E22))</f>
        <v/>
      </c>
      <c r="Q22" s="11" t="str">
        <f aca="false">IF($B22="","",IF($G22&gt;0,$H22/$G22,0))</f>
        <v/>
      </c>
      <c r="R22" s="12" t="str">
        <f aca="false">IF($B22="","",IF($G22&gt;0,$I22/$G22,0))</f>
        <v/>
      </c>
      <c r="S22" s="13" t="str">
        <f aca="false">IF($B22="","",IF($W22&lt;=1,100,COUNTIFS($C$5:$C$204,$C22,$P$5:$P$204,$P22,$F$5:$F$204,"&lt;"&amp;$F22)/($W22-1)*100))</f>
        <v/>
      </c>
      <c r="T22" s="13" t="str">
        <f aca="false">IF($B22="","",IF($C22="Supporter","-",IF($W22&lt;=1,100,COUNTIFS($C$5:$C$204,$C22,$P$5:$P$204,$P22,$Q$5:$Q$204,"&lt;"&amp;$Q22)/($W22-1)*100)))</f>
        <v/>
      </c>
      <c r="U22" s="14" t="str">
        <f aca="false">IF($B22="","",IF($C22="Supporter",$S22,0.85*$S22+0.15*$T22))</f>
        <v/>
      </c>
      <c r="V22" s="10" t="str">
        <f aca="false">IF($B22="","",COUNTIFS($C$5:$C$204,$C22,$P$5:$P$204,$P22,$U$5:$U$204,"&gt;"&amp;$U22)+1)</f>
        <v/>
      </c>
      <c r="W22" s="10" t="str">
        <f aca="false">IF($B22="","",COUNTIFS($C$5:$C$204,$C22,$P$5:$P$204,$P22))</f>
        <v/>
      </c>
      <c r="X22" s="15" t="str">
        <f aca="false">IF($B22="","",$V22/$W22)</f>
        <v/>
      </c>
      <c r="Y22" s="10" t="str">
        <f aca="false">IF($B22="","",IF(AND($M22="Có",$J22&lt;=Nguong!$B$16,$K22&lt;=Nguong!$B$17,$L22&lt;=Nguong!$B$18,$R22&lt;=INDEX(Nguong!$B$4:$B$8,$D22)),"Đạt","Không đạt"))</f>
        <v/>
      </c>
      <c r="Z22" s="16" t="str">
        <f aca="false">IF($B22="","",IF($D22&gt;=5,"-",INDEX(IF($C22="Supporter",Nguong!$E$4:$E$8,Nguong!$C$4:$C$8),$D22+1)))</f>
        <v/>
      </c>
      <c r="AA22" s="16" t="str">
        <f aca="false">IF($B22="","",INDEX(IF($C22="Supporter",Nguong!$F$4:$F$8,Nguong!$D$4:$D$8),$D22))</f>
        <v/>
      </c>
      <c r="AB22" s="17" t="str">
        <f aca="false">IF($B22="","",IF($Y22="Không đạt",IF($D22=1,"Không đạt ĐK cần – SM/GĐKV xem xét","Xuống Level "&amp;($D22-1)&amp;" (không đạt ĐK cần)"),IF(AND($D22&lt;5,$Z22&lt;&gt;"-",$X22&lt;=$Z22,$N22="Có",$O22="Có"),"Lên Level "&amp;($D22+1),IF($X22&lt;=$AA22,"Giữ Level "&amp;$D22,"Xuống Level "&amp;($D22-1)&amp;" (ngoài ngưỡng giữ)"))))</f>
        <v/>
      </c>
    </row>
    <row r="23" customFormat="false" ht="15" hidden="false" customHeight="false" outlineLevel="0" collapsed="false">
      <c r="A23" s="7"/>
      <c r="B23" s="7"/>
      <c r="C23" s="8"/>
      <c r="D23" s="8"/>
      <c r="E23" s="8"/>
      <c r="F23" s="9"/>
      <c r="G23" s="9"/>
      <c r="H23" s="9"/>
      <c r="I23" s="9"/>
      <c r="J23" s="9"/>
      <c r="K23" s="9"/>
      <c r="L23" s="9"/>
      <c r="M23" s="8"/>
      <c r="N23" s="8"/>
      <c r="O23" s="8"/>
      <c r="P23" s="10" t="str">
        <f aca="false">IF($B23="","",IF(AND($C23="Supporter",$E23=4),3,$E23))</f>
        <v/>
      </c>
      <c r="Q23" s="11" t="str">
        <f aca="false">IF($B23="","",IF($G23&gt;0,$H23/$G23,0))</f>
        <v/>
      </c>
      <c r="R23" s="12" t="str">
        <f aca="false">IF($B23="","",IF($G23&gt;0,$I23/$G23,0))</f>
        <v/>
      </c>
      <c r="S23" s="13" t="str">
        <f aca="false">IF($B23="","",IF($W23&lt;=1,100,COUNTIFS($C$5:$C$204,$C23,$P$5:$P$204,$P23,$F$5:$F$204,"&lt;"&amp;$F23)/($W23-1)*100))</f>
        <v/>
      </c>
      <c r="T23" s="13" t="str">
        <f aca="false">IF($B23="","",IF($C23="Supporter","-",IF($W23&lt;=1,100,COUNTIFS($C$5:$C$204,$C23,$P$5:$P$204,$P23,$Q$5:$Q$204,"&lt;"&amp;$Q23)/($W23-1)*100)))</f>
        <v/>
      </c>
      <c r="U23" s="14" t="str">
        <f aca="false">IF($B23="","",IF($C23="Supporter",$S23,0.85*$S23+0.15*$T23))</f>
        <v/>
      </c>
      <c r="V23" s="10" t="str">
        <f aca="false">IF($B23="","",COUNTIFS($C$5:$C$204,$C23,$P$5:$P$204,$P23,$U$5:$U$204,"&gt;"&amp;$U23)+1)</f>
        <v/>
      </c>
      <c r="W23" s="10" t="str">
        <f aca="false">IF($B23="","",COUNTIFS($C$5:$C$204,$C23,$P$5:$P$204,$P23))</f>
        <v/>
      </c>
      <c r="X23" s="15" t="str">
        <f aca="false">IF($B23="","",$V23/$W23)</f>
        <v/>
      </c>
      <c r="Y23" s="10" t="str">
        <f aca="false">IF($B23="","",IF(AND($M23="Có",$J23&lt;=Nguong!$B$16,$K23&lt;=Nguong!$B$17,$L23&lt;=Nguong!$B$18,$R23&lt;=INDEX(Nguong!$B$4:$B$8,$D23)),"Đạt","Không đạt"))</f>
        <v/>
      </c>
      <c r="Z23" s="16" t="str">
        <f aca="false">IF($B23="","",IF($D23&gt;=5,"-",INDEX(IF($C23="Supporter",Nguong!$E$4:$E$8,Nguong!$C$4:$C$8),$D23+1)))</f>
        <v/>
      </c>
      <c r="AA23" s="16" t="str">
        <f aca="false">IF($B23="","",INDEX(IF($C23="Supporter",Nguong!$F$4:$F$8,Nguong!$D$4:$D$8),$D23))</f>
        <v/>
      </c>
      <c r="AB23" s="17" t="str">
        <f aca="false">IF($B23="","",IF($Y23="Không đạt",IF($D23=1,"Không đạt ĐK cần – SM/GĐKV xem xét","Xuống Level "&amp;($D23-1)&amp;" (không đạt ĐK cần)"),IF(AND($D23&lt;5,$Z23&lt;&gt;"-",$X23&lt;=$Z23,$N23="Có",$O23="Có"),"Lên Level "&amp;($D23+1),IF($X23&lt;=$AA23,"Giữ Level "&amp;$D23,"Xuống Level "&amp;($D23-1)&amp;" (ngoài ngưỡng giữ)"))))</f>
        <v/>
      </c>
    </row>
    <row r="24" customFormat="false" ht="15" hidden="false" customHeight="false" outlineLevel="0" collapsed="false">
      <c r="A24" s="7"/>
      <c r="B24" s="7"/>
      <c r="C24" s="8"/>
      <c r="D24" s="8"/>
      <c r="E24" s="8"/>
      <c r="F24" s="9"/>
      <c r="G24" s="9"/>
      <c r="H24" s="9"/>
      <c r="I24" s="9"/>
      <c r="J24" s="9"/>
      <c r="K24" s="9"/>
      <c r="L24" s="9"/>
      <c r="M24" s="8"/>
      <c r="N24" s="8"/>
      <c r="O24" s="8"/>
      <c r="P24" s="10" t="str">
        <f aca="false">IF($B24="","",IF(AND($C24="Supporter",$E24=4),3,$E24))</f>
        <v/>
      </c>
      <c r="Q24" s="11" t="str">
        <f aca="false">IF($B24="","",IF($G24&gt;0,$H24/$G24,0))</f>
        <v/>
      </c>
      <c r="R24" s="12" t="str">
        <f aca="false">IF($B24="","",IF($G24&gt;0,$I24/$G24,0))</f>
        <v/>
      </c>
      <c r="S24" s="13" t="str">
        <f aca="false">IF($B24="","",IF($W24&lt;=1,100,COUNTIFS($C$5:$C$204,$C24,$P$5:$P$204,$P24,$F$5:$F$204,"&lt;"&amp;$F24)/($W24-1)*100))</f>
        <v/>
      </c>
      <c r="T24" s="13" t="str">
        <f aca="false">IF($B24="","",IF($C24="Supporter","-",IF($W24&lt;=1,100,COUNTIFS($C$5:$C$204,$C24,$P$5:$P$204,$P24,$Q$5:$Q$204,"&lt;"&amp;$Q24)/($W24-1)*100)))</f>
        <v/>
      </c>
      <c r="U24" s="14" t="str">
        <f aca="false">IF($B24="","",IF($C24="Supporter",$S24,0.85*$S24+0.15*$T24))</f>
        <v/>
      </c>
      <c r="V24" s="10" t="str">
        <f aca="false">IF($B24="","",COUNTIFS($C$5:$C$204,$C24,$P$5:$P$204,$P24,$U$5:$U$204,"&gt;"&amp;$U24)+1)</f>
        <v/>
      </c>
      <c r="W24" s="10" t="str">
        <f aca="false">IF($B24="","",COUNTIFS($C$5:$C$204,$C24,$P$5:$P$204,$P24))</f>
        <v/>
      </c>
      <c r="X24" s="15" t="str">
        <f aca="false">IF($B24="","",$V24/$W24)</f>
        <v/>
      </c>
      <c r="Y24" s="10" t="str">
        <f aca="false">IF($B24="","",IF(AND($M24="Có",$J24&lt;=Nguong!$B$16,$K24&lt;=Nguong!$B$17,$L24&lt;=Nguong!$B$18,$R24&lt;=INDEX(Nguong!$B$4:$B$8,$D24)),"Đạt","Không đạt"))</f>
        <v/>
      </c>
      <c r="Z24" s="16" t="str">
        <f aca="false">IF($B24="","",IF($D24&gt;=5,"-",INDEX(IF($C24="Supporter",Nguong!$E$4:$E$8,Nguong!$C$4:$C$8),$D24+1)))</f>
        <v/>
      </c>
      <c r="AA24" s="16" t="str">
        <f aca="false">IF($B24="","",INDEX(IF($C24="Supporter",Nguong!$F$4:$F$8,Nguong!$D$4:$D$8),$D24))</f>
        <v/>
      </c>
      <c r="AB24" s="17" t="str">
        <f aca="false">IF($B24="","",IF($Y24="Không đạt",IF($D24=1,"Không đạt ĐK cần – SM/GĐKV xem xét","Xuống Level "&amp;($D24-1)&amp;" (không đạt ĐK cần)"),IF(AND($D24&lt;5,$Z24&lt;&gt;"-",$X24&lt;=$Z24,$N24="Có",$O24="Có"),"Lên Level "&amp;($D24+1),IF($X24&lt;=$AA24,"Giữ Level "&amp;$D24,"Xuống Level "&amp;($D24-1)&amp;" (ngoài ngưỡng giữ)"))))</f>
        <v/>
      </c>
    </row>
    <row r="25" customFormat="false" ht="15" hidden="false" customHeight="false" outlineLevel="0" collapsed="false">
      <c r="A25" s="7"/>
      <c r="B25" s="7"/>
      <c r="C25" s="8"/>
      <c r="D25" s="8"/>
      <c r="E25" s="8"/>
      <c r="F25" s="9"/>
      <c r="G25" s="9"/>
      <c r="H25" s="9"/>
      <c r="I25" s="9"/>
      <c r="J25" s="9"/>
      <c r="K25" s="9"/>
      <c r="L25" s="9"/>
      <c r="M25" s="8"/>
      <c r="N25" s="8"/>
      <c r="O25" s="8"/>
      <c r="P25" s="10" t="str">
        <f aca="false">IF($B25="","",IF(AND($C25="Supporter",$E25=4),3,$E25))</f>
        <v/>
      </c>
      <c r="Q25" s="11" t="str">
        <f aca="false">IF($B25="","",IF($G25&gt;0,$H25/$G25,0))</f>
        <v/>
      </c>
      <c r="R25" s="12" t="str">
        <f aca="false">IF($B25="","",IF($G25&gt;0,$I25/$G25,0))</f>
        <v/>
      </c>
      <c r="S25" s="13" t="str">
        <f aca="false">IF($B25="","",IF($W25&lt;=1,100,COUNTIFS($C$5:$C$204,$C25,$P$5:$P$204,$P25,$F$5:$F$204,"&lt;"&amp;$F25)/($W25-1)*100))</f>
        <v/>
      </c>
      <c r="T25" s="13" t="str">
        <f aca="false">IF($B25="","",IF($C25="Supporter","-",IF($W25&lt;=1,100,COUNTIFS($C$5:$C$204,$C25,$P$5:$P$204,$P25,$Q$5:$Q$204,"&lt;"&amp;$Q25)/($W25-1)*100)))</f>
        <v/>
      </c>
      <c r="U25" s="14" t="str">
        <f aca="false">IF($B25="","",IF($C25="Supporter",$S25,0.85*$S25+0.15*$T25))</f>
        <v/>
      </c>
      <c r="V25" s="10" t="str">
        <f aca="false">IF($B25="","",COUNTIFS($C$5:$C$204,$C25,$P$5:$P$204,$P25,$U$5:$U$204,"&gt;"&amp;$U25)+1)</f>
        <v/>
      </c>
      <c r="W25" s="10" t="str">
        <f aca="false">IF($B25="","",COUNTIFS($C$5:$C$204,$C25,$P$5:$P$204,$P25))</f>
        <v/>
      </c>
      <c r="X25" s="15" t="str">
        <f aca="false">IF($B25="","",$V25/$W25)</f>
        <v/>
      </c>
      <c r="Y25" s="10" t="str">
        <f aca="false">IF($B25="","",IF(AND($M25="Có",$J25&lt;=Nguong!$B$16,$K25&lt;=Nguong!$B$17,$L25&lt;=Nguong!$B$18,$R25&lt;=INDEX(Nguong!$B$4:$B$8,$D25)),"Đạt","Không đạt"))</f>
        <v/>
      </c>
      <c r="Z25" s="16" t="str">
        <f aca="false">IF($B25="","",IF($D25&gt;=5,"-",INDEX(IF($C25="Supporter",Nguong!$E$4:$E$8,Nguong!$C$4:$C$8),$D25+1)))</f>
        <v/>
      </c>
      <c r="AA25" s="16" t="str">
        <f aca="false">IF($B25="","",INDEX(IF($C25="Supporter",Nguong!$F$4:$F$8,Nguong!$D$4:$D$8),$D25))</f>
        <v/>
      </c>
      <c r="AB25" s="17" t="str">
        <f aca="false">IF($B25="","",IF($Y25="Không đạt",IF($D25=1,"Không đạt ĐK cần – SM/GĐKV xem xét","Xuống Level "&amp;($D25-1)&amp;" (không đạt ĐK cần)"),IF(AND($D25&lt;5,$Z25&lt;&gt;"-",$X25&lt;=$Z25,$N25="Có",$O25="Có"),"Lên Level "&amp;($D25+1),IF($X25&lt;=$AA25,"Giữ Level "&amp;$D25,"Xuống Level "&amp;($D25-1)&amp;" (ngoài ngưỡng giữ)"))))</f>
        <v/>
      </c>
    </row>
    <row r="26" customFormat="false" ht="15" hidden="false" customHeight="false" outlineLevel="0" collapsed="false">
      <c r="A26" s="7"/>
      <c r="B26" s="7"/>
      <c r="C26" s="8"/>
      <c r="D26" s="8"/>
      <c r="E26" s="8"/>
      <c r="F26" s="9"/>
      <c r="G26" s="9"/>
      <c r="H26" s="9"/>
      <c r="I26" s="9"/>
      <c r="J26" s="9"/>
      <c r="K26" s="9"/>
      <c r="L26" s="9"/>
      <c r="M26" s="8"/>
      <c r="N26" s="8"/>
      <c r="O26" s="8"/>
      <c r="P26" s="10" t="str">
        <f aca="false">IF($B26="","",IF(AND($C26="Supporter",$E26=4),3,$E26))</f>
        <v/>
      </c>
      <c r="Q26" s="11" t="str">
        <f aca="false">IF($B26="","",IF($G26&gt;0,$H26/$G26,0))</f>
        <v/>
      </c>
      <c r="R26" s="12" t="str">
        <f aca="false">IF($B26="","",IF($G26&gt;0,$I26/$G26,0))</f>
        <v/>
      </c>
      <c r="S26" s="13" t="str">
        <f aca="false">IF($B26="","",IF($W26&lt;=1,100,COUNTIFS($C$5:$C$204,$C26,$P$5:$P$204,$P26,$F$5:$F$204,"&lt;"&amp;$F26)/($W26-1)*100))</f>
        <v/>
      </c>
      <c r="T26" s="13" t="str">
        <f aca="false">IF($B26="","",IF($C26="Supporter","-",IF($W26&lt;=1,100,COUNTIFS($C$5:$C$204,$C26,$P$5:$P$204,$P26,$Q$5:$Q$204,"&lt;"&amp;$Q26)/($W26-1)*100)))</f>
        <v/>
      </c>
      <c r="U26" s="14" t="str">
        <f aca="false">IF($B26="","",IF($C26="Supporter",$S26,0.85*$S26+0.15*$T26))</f>
        <v/>
      </c>
      <c r="V26" s="10" t="str">
        <f aca="false">IF($B26="","",COUNTIFS($C$5:$C$204,$C26,$P$5:$P$204,$P26,$U$5:$U$204,"&gt;"&amp;$U26)+1)</f>
        <v/>
      </c>
      <c r="W26" s="10" t="str">
        <f aca="false">IF($B26="","",COUNTIFS($C$5:$C$204,$C26,$P$5:$P$204,$P26))</f>
        <v/>
      </c>
      <c r="X26" s="15" t="str">
        <f aca="false">IF($B26="","",$V26/$W26)</f>
        <v/>
      </c>
      <c r="Y26" s="10" t="str">
        <f aca="false">IF($B26="","",IF(AND($M26="Có",$J26&lt;=Nguong!$B$16,$K26&lt;=Nguong!$B$17,$L26&lt;=Nguong!$B$18,$R26&lt;=INDEX(Nguong!$B$4:$B$8,$D26)),"Đạt","Không đạt"))</f>
        <v/>
      </c>
      <c r="Z26" s="16" t="str">
        <f aca="false">IF($B26="","",IF($D26&gt;=5,"-",INDEX(IF($C26="Supporter",Nguong!$E$4:$E$8,Nguong!$C$4:$C$8),$D26+1)))</f>
        <v/>
      </c>
      <c r="AA26" s="16" t="str">
        <f aca="false">IF($B26="","",INDEX(IF($C26="Supporter",Nguong!$F$4:$F$8,Nguong!$D$4:$D$8),$D26))</f>
        <v/>
      </c>
      <c r="AB26" s="17" t="str">
        <f aca="false">IF($B26="","",IF($Y26="Không đạt",IF($D26=1,"Không đạt ĐK cần – SM/GĐKV xem xét","Xuống Level "&amp;($D26-1)&amp;" (không đạt ĐK cần)"),IF(AND($D26&lt;5,$Z26&lt;&gt;"-",$X26&lt;=$Z26,$N26="Có",$O26="Có"),"Lên Level "&amp;($D26+1),IF($X26&lt;=$AA26,"Giữ Level "&amp;$D26,"Xuống Level "&amp;($D26-1)&amp;" (ngoài ngưỡng giữ)"))))</f>
        <v/>
      </c>
    </row>
    <row r="27" customFormat="false" ht="15" hidden="false" customHeight="false" outlineLevel="0" collapsed="false">
      <c r="A27" s="7"/>
      <c r="B27" s="7"/>
      <c r="C27" s="8"/>
      <c r="D27" s="8"/>
      <c r="E27" s="8"/>
      <c r="F27" s="9"/>
      <c r="G27" s="9"/>
      <c r="H27" s="9"/>
      <c r="I27" s="9"/>
      <c r="J27" s="9"/>
      <c r="K27" s="9"/>
      <c r="L27" s="9"/>
      <c r="M27" s="8"/>
      <c r="N27" s="8"/>
      <c r="O27" s="8"/>
      <c r="P27" s="10" t="str">
        <f aca="false">IF($B27="","",IF(AND($C27="Supporter",$E27=4),3,$E27))</f>
        <v/>
      </c>
      <c r="Q27" s="11" t="str">
        <f aca="false">IF($B27="","",IF($G27&gt;0,$H27/$G27,0))</f>
        <v/>
      </c>
      <c r="R27" s="12" t="str">
        <f aca="false">IF($B27="","",IF($G27&gt;0,$I27/$G27,0))</f>
        <v/>
      </c>
      <c r="S27" s="13" t="str">
        <f aca="false">IF($B27="","",IF($W27&lt;=1,100,COUNTIFS($C$5:$C$204,$C27,$P$5:$P$204,$P27,$F$5:$F$204,"&lt;"&amp;$F27)/($W27-1)*100))</f>
        <v/>
      </c>
      <c r="T27" s="13" t="str">
        <f aca="false">IF($B27="","",IF($C27="Supporter","-",IF($W27&lt;=1,100,COUNTIFS($C$5:$C$204,$C27,$P$5:$P$204,$P27,$Q$5:$Q$204,"&lt;"&amp;$Q27)/($W27-1)*100)))</f>
        <v/>
      </c>
      <c r="U27" s="14" t="str">
        <f aca="false">IF($B27="","",IF($C27="Supporter",$S27,0.85*$S27+0.15*$T27))</f>
        <v/>
      </c>
      <c r="V27" s="10" t="str">
        <f aca="false">IF($B27="","",COUNTIFS($C$5:$C$204,$C27,$P$5:$P$204,$P27,$U$5:$U$204,"&gt;"&amp;$U27)+1)</f>
        <v/>
      </c>
      <c r="W27" s="10" t="str">
        <f aca="false">IF($B27="","",COUNTIFS($C$5:$C$204,$C27,$P$5:$P$204,$P27))</f>
        <v/>
      </c>
      <c r="X27" s="15" t="str">
        <f aca="false">IF($B27="","",$V27/$W27)</f>
        <v/>
      </c>
      <c r="Y27" s="10" t="str">
        <f aca="false">IF($B27="","",IF(AND($M27="Có",$J27&lt;=Nguong!$B$16,$K27&lt;=Nguong!$B$17,$L27&lt;=Nguong!$B$18,$R27&lt;=INDEX(Nguong!$B$4:$B$8,$D27)),"Đạt","Không đạt"))</f>
        <v/>
      </c>
      <c r="Z27" s="16" t="str">
        <f aca="false">IF($B27="","",IF($D27&gt;=5,"-",INDEX(IF($C27="Supporter",Nguong!$E$4:$E$8,Nguong!$C$4:$C$8),$D27+1)))</f>
        <v/>
      </c>
      <c r="AA27" s="16" t="str">
        <f aca="false">IF($B27="","",INDEX(IF($C27="Supporter",Nguong!$F$4:$F$8,Nguong!$D$4:$D$8),$D27))</f>
        <v/>
      </c>
      <c r="AB27" s="17" t="str">
        <f aca="false">IF($B27="","",IF($Y27="Không đạt",IF($D27=1,"Không đạt ĐK cần – SM/GĐKV xem xét","Xuống Level "&amp;($D27-1)&amp;" (không đạt ĐK cần)"),IF(AND($D27&lt;5,$Z27&lt;&gt;"-",$X27&lt;=$Z27,$N27="Có",$O27="Có"),"Lên Level "&amp;($D27+1),IF($X27&lt;=$AA27,"Giữ Level "&amp;$D27,"Xuống Level "&amp;($D27-1)&amp;" (ngoài ngưỡng giữ)"))))</f>
        <v/>
      </c>
    </row>
    <row r="28" customFormat="false" ht="15" hidden="false" customHeight="false" outlineLevel="0" collapsed="false">
      <c r="A28" s="7"/>
      <c r="B28" s="7"/>
      <c r="C28" s="8"/>
      <c r="D28" s="8"/>
      <c r="E28" s="8"/>
      <c r="F28" s="9"/>
      <c r="G28" s="9"/>
      <c r="H28" s="9"/>
      <c r="I28" s="9"/>
      <c r="J28" s="9"/>
      <c r="K28" s="9"/>
      <c r="L28" s="9"/>
      <c r="M28" s="8"/>
      <c r="N28" s="8"/>
      <c r="O28" s="8"/>
      <c r="P28" s="10" t="str">
        <f aca="false">IF($B28="","",IF(AND($C28="Supporter",$E28=4),3,$E28))</f>
        <v/>
      </c>
      <c r="Q28" s="11" t="str">
        <f aca="false">IF($B28="","",IF($G28&gt;0,$H28/$G28,0))</f>
        <v/>
      </c>
      <c r="R28" s="12" t="str">
        <f aca="false">IF($B28="","",IF($G28&gt;0,$I28/$G28,0))</f>
        <v/>
      </c>
      <c r="S28" s="13" t="str">
        <f aca="false">IF($B28="","",IF($W28&lt;=1,100,COUNTIFS($C$5:$C$204,$C28,$P$5:$P$204,$P28,$F$5:$F$204,"&lt;"&amp;$F28)/($W28-1)*100))</f>
        <v/>
      </c>
      <c r="T28" s="13" t="str">
        <f aca="false">IF($B28="","",IF($C28="Supporter","-",IF($W28&lt;=1,100,COUNTIFS($C$5:$C$204,$C28,$P$5:$P$204,$P28,$Q$5:$Q$204,"&lt;"&amp;$Q28)/($W28-1)*100)))</f>
        <v/>
      </c>
      <c r="U28" s="14" t="str">
        <f aca="false">IF($B28="","",IF($C28="Supporter",$S28,0.85*$S28+0.15*$T28))</f>
        <v/>
      </c>
      <c r="V28" s="10" t="str">
        <f aca="false">IF($B28="","",COUNTIFS($C$5:$C$204,$C28,$P$5:$P$204,$P28,$U$5:$U$204,"&gt;"&amp;$U28)+1)</f>
        <v/>
      </c>
      <c r="W28" s="10" t="str">
        <f aca="false">IF($B28="","",COUNTIFS($C$5:$C$204,$C28,$P$5:$P$204,$P28))</f>
        <v/>
      </c>
      <c r="X28" s="15" t="str">
        <f aca="false">IF($B28="","",$V28/$W28)</f>
        <v/>
      </c>
      <c r="Y28" s="10" t="str">
        <f aca="false">IF($B28="","",IF(AND($M28="Có",$J28&lt;=Nguong!$B$16,$K28&lt;=Nguong!$B$17,$L28&lt;=Nguong!$B$18,$R28&lt;=INDEX(Nguong!$B$4:$B$8,$D28)),"Đạt","Không đạt"))</f>
        <v/>
      </c>
      <c r="Z28" s="16" t="str">
        <f aca="false">IF($B28="","",IF($D28&gt;=5,"-",INDEX(IF($C28="Supporter",Nguong!$E$4:$E$8,Nguong!$C$4:$C$8),$D28+1)))</f>
        <v/>
      </c>
      <c r="AA28" s="16" t="str">
        <f aca="false">IF($B28="","",INDEX(IF($C28="Supporter",Nguong!$F$4:$F$8,Nguong!$D$4:$D$8),$D28))</f>
        <v/>
      </c>
      <c r="AB28" s="17" t="str">
        <f aca="false">IF($B28="","",IF($Y28="Không đạt",IF($D28=1,"Không đạt ĐK cần – SM/GĐKV xem xét","Xuống Level "&amp;($D28-1)&amp;" (không đạt ĐK cần)"),IF(AND($D28&lt;5,$Z28&lt;&gt;"-",$X28&lt;=$Z28,$N28="Có",$O28="Có"),"Lên Level "&amp;($D28+1),IF($X28&lt;=$AA28,"Giữ Level "&amp;$D28,"Xuống Level "&amp;($D28-1)&amp;" (ngoài ngưỡng giữ)"))))</f>
        <v/>
      </c>
    </row>
    <row r="29" customFormat="false" ht="15" hidden="false" customHeight="false" outlineLevel="0" collapsed="false">
      <c r="A29" s="7"/>
      <c r="B29" s="7"/>
      <c r="C29" s="8"/>
      <c r="D29" s="8"/>
      <c r="E29" s="8"/>
      <c r="F29" s="9"/>
      <c r="G29" s="9"/>
      <c r="H29" s="9"/>
      <c r="I29" s="9"/>
      <c r="J29" s="9"/>
      <c r="K29" s="9"/>
      <c r="L29" s="9"/>
      <c r="M29" s="8"/>
      <c r="N29" s="8"/>
      <c r="O29" s="8"/>
      <c r="P29" s="10" t="str">
        <f aca="false">IF($B29="","",IF(AND($C29="Supporter",$E29=4),3,$E29))</f>
        <v/>
      </c>
      <c r="Q29" s="11" t="str">
        <f aca="false">IF($B29="","",IF($G29&gt;0,$H29/$G29,0))</f>
        <v/>
      </c>
      <c r="R29" s="12" t="str">
        <f aca="false">IF($B29="","",IF($G29&gt;0,$I29/$G29,0))</f>
        <v/>
      </c>
      <c r="S29" s="13" t="str">
        <f aca="false">IF($B29="","",IF($W29&lt;=1,100,COUNTIFS($C$5:$C$204,$C29,$P$5:$P$204,$P29,$F$5:$F$204,"&lt;"&amp;$F29)/($W29-1)*100))</f>
        <v/>
      </c>
      <c r="T29" s="13" t="str">
        <f aca="false">IF($B29="","",IF($C29="Supporter","-",IF($W29&lt;=1,100,COUNTIFS($C$5:$C$204,$C29,$P$5:$P$204,$P29,$Q$5:$Q$204,"&lt;"&amp;$Q29)/($W29-1)*100)))</f>
        <v/>
      </c>
      <c r="U29" s="14" t="str">
        <f aca="false">IF($B29="","",IF($C29="Supporter",$S29,0.85*$S29+0.15*$T29))</f>
        <v/>
      </c>
      <c r="V29" s="10" t="str">
        <f aca="false">IF($B29="","",COUNTIFS($C$5:$C$204,$C29,$P$5:$P$204,$P29,$U$5:$U$204,"&gt;"&amp;$U29)+1)</f>
        <v/>
      </c>
      <c r="W29" s="10" t="str">
        <f aca="false">IF($B29="","",COUNTIFS($C$5:$C$204,$C29,$P$5:$P$204,$P29))</f>
        <v/>
      </c>
      <c r="X29" s="15" t="str">
        <f aca="false">IF($B29="","",$V29/$W29)</f>
        <v/>
      </c>
      <c r="Y29" s="10" t="str">
        <f aca="false">IF($B29="","",IF(AND($M29="Có",$J29&lt;=Nguong!$B$16,$K29&lt;=Nguong!$B$17,$L29&lt;=Nguong!$B$18,$R29&lt;=INDEX(Nguong!$B$4:$B$8,$D29)),"Đạt","Không đạt"))</f>
        <v/>
      </c>
      <c r="Z29" s="16" t="str">
        <f aca="false">IF($B29="","",IF($D29&gt;=5,"-",INDEX(IF($C29="Supporter",Nguong!$E$4:$E$8,Nguong!$C$4:$C$8),$D29+1)))</f>
        <v/>
      </c>
      <c r="AA29" s="16" t="str">
        <f aca="false">IF($B29="","",INDEX(IF($C29="Supporter",Nguong!$F$4:$F$8,Nguong!$D$4:$D$8),$D29))</f>
        <v/>
      </c>
      <c r="AB29" s="17" t="str">
        <f aca="false">IF($B29="","",IF($Y29="Không đạt",IF($D29=1,"Không đạt ĐK cần – SM/GĐKV xem xét","Xuống Level "&amp;($D29-1)&amp;" (không đạt ĐK cần)"),IF(AND($D29&lt;5,$Z29&lt;&gt;"-",$X29&lt;=$Z29,$N29="Có",$O29="Có"),"Lên Level "&amp;($D29+1),IF($X29&lt;=$AA29,"Giữ Level "&amp;$D29,"Xuống Level "&amp;($D29-1)&amp;" (ngoài ngưỡng giữ)"))))</f>
        <v/>
      </c>
    </row>
    <row r="30" customFormat="false" ht="15" hidden="false" customHeight="false" outlineLevel="0" collapsed="false">
      <c r="A30" s="7"/>
      <c r="B30" s="7"/>
      <c r="C30" s="8"/>
      <c r="D30" s="8"/>
      <c r="E30" s="8"/>
      <c r="F30" s="9"/>
      <c r="G30" s="9"/>
      <c r="H30" s="9"/>
      <c r="I30" s="9"/>
      <c r="J30" s="9"/>
      <c r="K30" s="9"/>
      <c r="L30" s="9"/>
      <c r="M30" s="8"/>
      <c r="N30" s="8"/>
      <c r="O30" s="8"/>
      <c r="P30" s="10" t="str">
        <f aca="false">IF($B30="","",IF(AND($C30="Supporter",$E30=4),3,$E30))</f>
        <v/>
      </c>
      <c r="Q30" s="11" t="str">
        <f aca="false">IF($B30="","",IF($G30&gt;0,$H30/$G30,0))</f>
        <v/>
      </c>
      <c r="R30" s="12" t="str">
        <f aca="false">IF($B30="","",IF($G30&gt;0,$I30/$G30,0))</f>
        <v/>
      </c>
      <c r="S30" s="13" t="str">
        <f aca="false">IF($B30="","",IF($W30&lt;=1,100,COUNTIFS($C$5:$C$204,$C30,$P$5:$P$204,$P30,$F$5:$F$204,"&lt;"&amp;$F30)/($W30-1)*100))</f>
        <v/>
      </c>
      <c r="T30" s="13" t="str">
        <f aca="false">IF($B30="","",IF($C30="Supporter","-",IF($W30&lt;=1,100,COUNTIFS($C$5:$C$204,$C30,$P$5:$P$204,$P30,$Q$5:$Q$204,"&lt;"&amp;$Q30)/($W30-1)*100)))</f>
        <v/>
      </c>
      <c r="U30" s="14" t="str">
        <f aca="false">IF($B30="","",IF($C30="Supporter",$S30,0.85*$S30+0.15*$T30))</f>
        <v/>
      </c>
      <c r="V30" s="10" t="str">
        <f aca="false">IF($B30="","",COUNTIFS($C$5:$C$204,$C30,$P$5:$P$204,$P30,$U$5:$U$204,"&gt;"&amp;$U30)+1)</f>
        <v/>
      </c>
      <c r="W30" s="10" t="str">
        <f aca="false">IF($B30="","",COUNTIFS($C$5:$C$204,$C30,$P$5:$P$204,$P30))</f>
        <v/>
      </c>
      <c r="X30" s="15" t="str">
        <f aca="false">IF($B30="","",$V30/$W30)</f>
        <v/>
      </c>
      <c r="Y30" s="10" t="str">
        <f aca="false">IF($B30="","",IF(AND($M30="Có",$J30&lt;=Nguong!$B$16,$K30&lt;=Nguong!$B$17,$L30&lt;=Nguong!$B$18,$R30&lt;=INDEX(Nguong!$B$4:$B$8,$D30)),"Đạt","Không đạt"))</f>
        <v/>
      </c>
      <c r="Z30" s="16" t="str">
        <f aca="false">IF($B30="","",IF($D30&gt;=5,"-",INDEX(IF($C30="Supporter",Nguong!$E$4:$E$8,Nguong!$C$4:$C$8),$D30+1)))</f>
        <v/>
      </c>
      <c r="AA30" s="16" t="str">
        <f aca="false">IF($B30="","",INDEX(IF($C30="Supporter",Nguong!$F$4:$F$8,Nguong!$D$4:$D$8),$D30))</f>
        <v/>
      </c>
      <c r="AB30" s="17" t="str">
        <f aca="false">IF($B30="","",IF($Y30="Không đạt",IF($D30=1,"Không đạt ĐK cần – SM/GĐKV xem xét","Xuống Level "&amp;($D30-1)&amp;" (không đạt ĐK cần)"),IF(AND($D30&lt;5,$Z30&lt;&gt;"-",$X30&lt;=$Z30,$N30="Có",$O30="Có"),"Lên Level "&amp;($D30+1),IF($X30&lt;=$AA30,"Giữ Level "&amp;$D30,"Xuống Level "&amp;($D30-1)&amp;" (ngoài ngưỡng giữ)"))))</f>
        <v/>
      </c>
    </row>
    <row r="31" customFormat="false" ht="15" hidden="false" customHeight="false" outlineLevel="0" collapsed="false">
      <c r="A31" s="7"/>
      <c r="B31" s="7"/>
      <c r="C31" s="8"/>
      <c r="D31" s="8"/>
      <c r="E31" s="8"/>
      <c r="F31" s="9"/>
      <c r="G31" s="9"/>
      <c r="H31" s="9"/>
      <c r="I31" s="9"/>
      <c r="J31" s="9"/>
      <c r="K31" s="9"/>
      <c r="L31" s="9"/>
      <c r="M31" s="8"/>
      <c r="N31" s="8"/>
      <c r="O31" s="8"/>
      <c r="P31" s="10" t="str">
        <f aca="false">IF($B31="","",IF(AND($C31="Supporter",$E31=4),3,$E31))</f>
        <v/>
      </c>
      <c r="Q31" s="11" t="str">
        <f aca="false">IF($B31="","",IF($G31&gt;0,$H31/$G31,0))</f>
        <v/>
      </c>
      <c r="R31" s="12" t="str">
        <f aca="false">IF($B31="","",IF($G31&gt;0,$I31/$G31,0))</f>
        <v/>
      </c>
      <c r="S31" s="13" t="str">
        <f aca="false">IF($B31="","",IF($W31&lt;=1,100,COUNTIFS($C$5:$C$204,$C31,$P$5:$P$204,$P31,$F$5:$F$204,"&lt;"&amp;$F31)/($W31-1)*100))</f>
        <v/>
      </c>
      <c r="T31" s="13" t="str">
        <f aca="false">IF($B31="","",IF($C31="Supporter","-",IF($W31&lt;=1,100,COUNTIFS($C$5:$C$204,$C31,$P$5:$P$204,$P31,$Q$5:$Q$204,"&lt;"&amp;$Q31)/($W31-1)*100)))</f>
        <v/>
      </c>
      <c r="U31" s="14" t="str">
        <f aca="false">IF($B31="","",IF($C31="Supporter",$S31,0.85*$S31+0.15*$T31))</f>
        <v/>
      </c>
      <c r="V31" s="10" t="str">
        <f aca="false">IF($B31="","",COUNTIFS($C$5:$C$204,$C31,$P$5:$P$204,$P31,$U$5:$U$204,"&gt;"&amp;$U31)+1)</f>
        <v/>
      </c>
      <c r="W31" s="10" t="str">
        <f aca="false">IF($B31="","",COUNTIFS($C$5:$C$204,$C31,$P$5:$P$204,$P31))</f>
        <v/>
      </c>
      <c r="X31" s="15" t="str">
        <f aca="false">IF($B31="","",$V31/$W31)</f>
        <v/>
      </c>
      <c r="Y31" s="10" t="str">
        <f aca="false">IF($B31="","",IF(AND($M31="Có",$J31&lt;=Nguong!$B$16,$K31&lt;=Nguong!$B$17,$L31&lt;=Nguong!$B$18,$R31&lt;=INDEX(Nguong!$B$4:$B$8,$D31)),"Đạt","Không đạt"))</f>
        <v/>
      </c>
      <c r="Z31" s="16" t="str">
        <f aca="false">IF($B31="","",IF($D31&gt;=5,"-",INDEX(IF($C31="Supporter",Nguong!$E$4:$E$8,Nguong!$C$4:$C$8),$D31+1)))</f>
        <v/>
      </c>
      <c r="AA31" s="16" t="str">
        <f aca="false">IF($B31="","",INDEX(IF($C31="Supporter",Nguong!$F$4:$F$8,Nguong!$D$4:$D$8),$D31))</f>
        <v/>
      </c>
      <c r="AB31" s="17" t="str">
        <f aca="false">IF($B31="","",IF($Y31="Không đạt",IF($D31=1,"Không đạt ĐK cần – SM/GĐKV xem xét","Xuống Level "&amp;($D31-1)&amp;" (không đạt ĐK cần)"),IF(AND($D31&lt;5,$Z31&lt;&gt;"-",$X31&lt;=$Z31,$N31="Có",$O31="Có"),"Lên Level "&amp;($D31+1),IF($X31&lt;=$AA31,"Giữ Level "&amp;$D31,"Xuống Level "&amp;($D31-1)&amp;" (ngoài ngưỡng giữ)"))))</f>
        <v/>
      </c>
    </row>
    <row r="32" customFormat="false" ht="15" hidden="false" customHeight="false" outlineLevel="0" collapsed="false">
      <c r="A32" s="7"/>
      <c r="B32" s="7"/>
      <c r="C32" s="8"/>
      <c r="D32" s="8"/>
      <c r="E32" s="8"/>
      <c r="F32" s="9"/>
      <c r="G32" s="9"/>
      <c r="H32" s="9"/>
      <c r="I32" s="9"/>
      <c r="J32" s="9"/>
      <c r="K32" s="9"/>
      <c r="L32" s="9"/>
      <c r="M32" s="8"/>
      <c r="N32" s="8"/>
      <c r="O32" s="8"/>
      <c r="P32" s="10" t="str">
        <f aca="false">IF($B32="","",IF(AND($C32="Supporter",$E32=4),3,$E32))</f>
        <v/>
      </c>
      <c r="Q32" s="11" t="str">
        <f aca="false">IF($B32="","",IF($G32&gt;0,$H32/$G32,0))</f>
        <v/>
      </c>
      <c r="R32" s="12" t="str">
        <f aca="false">IF($B32="","",IF($G32&gt;0,$I32/$G32,0))</f>
        <v/>
      </c>
      <c r="S32" s="13" t="str">
        <f aca="false">IF($B32="","",IF($W32&lt;=1,100,COUNTIFS($C$5:$C$204,$C32,$P$5:$P$204,$P32,$F$5:$F$204,"&lt;"&amp;$F32)/($W32-1)*100))</f>
        <v/>
      </c>
      <c r="T32" s="13" t="str">
        <f aca="false">IF($B32="","",IF($C32="Supporter","-",IF($W32&lt;=1,100,COUNTIFS($C$5:$C$204,$C32,$P$5:$P$204,$P32,$Q$5:$Q$204,"&lt;"&amp;$Q32)/($W32-1)*100)))</f>
        <v/>
      </c>
      <c r="U32" s="14" t="str">
        <f aca="false">IF($B32="","",IF($C32="Supporter",$S32,0.85*$S32+0.15*$T32))</f>
        <v/>
      </c>
      <c r="V32" s="10" t="str">
        <f aca="false">IF($B32="","",COUNTIFS($C$5:$C$204,$C32,$P$5:$P$204,$P32,$U$5:$U$204,"&gt;"&amp;$U32)+1)</f>
        <v/>
      </c>
      <c r="W32" s="10" t="str">
        <f aca="false">IF($B32="","",COUNTIFS($C$5:$C$204,$C32,$P$5:$P$204,$P32))</f>
        <v/>
      </c>
      <c r="X32" s="15" t="str">
        <f aca="false">IF($B32="","",$V32/$W32)</f>
        <v/>
      </c>
      <c r="Y32" s="10" t="str">
        <f aca="false">IF($B32="","",IF(AND($M32="Có",$J32&lt;=Nguong!$B$16,$K32&lt;=Nguong!$B$17,$L32&lt;=Nguong!$B$18,$R32&lt;=INDEX(Nguong!$B$4:$B$8,$D32)),"Đạt","Không đạt"))</f>
        <v/>
      </c>
      <c r="Z32" s="16" t="str">
        <f aca="false">IF($B32="","",IF($D32&gt;=5,"-",INDEX(IF($C32="Supporter",Nguong!$E$4:$E$8,Nguong!$C$4:$C$8),$D32+1)))</f>
        <v/>
      </c>
      <c r="AA32" s="16" t="str">
        <f aca="false">IF($B32="","",INDEX(IF($C32="Supporter",Nguong!$F$4:$F$8,Nguong!$D$4:$D$8),$D32))</f>
        <v/>
      </c>
      <c r="AB32" s="17" t="str">
        <f aca="false">IF($B32="","",IF($Y32="Không đạt",IF($D32=1,"Không đạt ĐK cần – SM/GĐKV xem xét","Xuống Level "&amp;($D32-1)&amp;" (không đạt ĐK cần)"),IF(AND($D32&lt;5,$Z32&lt;&gt;"-",$X32&lt;=$Z32,$N32="Có",$O32="Có"),"Lên Level "&amp;($D32+1),IF($X32&lt;=$AA32,"Giữ Level "&amp;$D32,"Xuống Level "&amp;($D32-1)&amp;" (ngoài ngưỡng giữ)"))))</f>
        <v/>
      </c>
    </row>
    <row r="33" customFormat="false" ht="15" hidden="false" customHeight="false" outlineLevel="0" collapsed="false">
      <c r="A33" s="7"/>
      <c r="B33" s="7"/>
      <c r="C33" s="8"/>
      <c r="D33" s="8"/>
      <c r="E33" s="8"/>
      <c r="F33" s="9"/>
      <c r="G33" s="9"/>
      <c r="H33" s="9"/>
      <c r="I33" s="9"/>
      <c r="J33" s="9"/>
      <c r="K33" s="9"/>
      <c r="L33" s="9"/>
      <c r="M33" s="8"/>
      <c r="N33" s="8"/>
      <c r="O33" s="8"/>
      <c r="P33" s="10" t="str">
        <f aca="false">IF($B33="","",IF(AND($C33="Supporter",$E33=4),3,$E33))</f>
        <v/>
      </c>
      <c r="Q33" s="11" t="str">
        <f aca="false">IF($B33="","",IF($G33&gt;0,$H33/$G33,0))</f>
        <v/>
      </c>
      <c r="R33" s="12" t="str">
        <f aca="false">IF($B33="","",IF($G33&gt;0,$I33/$G33,0))</f>
        <v/>
      </c>
      <c r="S33" s="13" t="str">
        <f aca="false">IF($B33="","",IF($W33&lt;=1,100,COUNTIFS($C$5:$C$204,$C33,$P$5:$P$204,$P33,$F$5:$F$204,"&lt;"&amp;$F33)/($W33-1)*100))</f>
        <v/>
      </c>
      <c r="T33" s="13" t="str">
        <f aca="false">IF($B33="","",IF($C33="Supporter","-",IF($W33&lt;=1,100,COUNTIFS($C$5:$C$204,$C33,$P$5:$P$204,$P33,$Q$5:$Q$204,"&lt;"&amp;$Q33)/($W33-1)*100)))</f>
        <v/>
      </c>
      <c r="U33" s="14" t="str">
        <f aca="false">IF($B33="","",IF($C33="Supporter",$S33,0.85*$S33+0.15*$T33))</f>
        <v/>
      </c>
      <c r="V33" s="10" t="str">
        <f aca="false">IF($B33="","",COUNTIFS($C$5:$C$204,$C33,$P$5:$P$204,$P33,$U$5:$U$204,"&gt;"&amp;$U33)+1)</f>
        <v/>
      </c>
      <c r="W33" s="10" t="str">
        <f aca="false">IF($B33="","",COUNTIFS($C$5:$C$204,$C33,$P$5:$P$204,$P33))</f>
        <v/>
      </c>
      <c r="X33" s="15" t="str">
        <f aca="false">IF($B33="","",$V33/$W33)</f>
        <v/>
      </c>
      <c r="Y33" s="10" t="str">
        <f aca="false">IF($B33="","",IF(AND($M33="Có",$J33&lt;=Nguong!$B$16,$K33&lt;=Nguong!$B$17,$L33&lt;=Nguong!$B$18,$R33&lt;=INDEX(Nguong!$B$4:$B$8,$D33)),"Đạt","Không đạt"))</f>
        <v/>
      </c>
      <c r="Z33" s="16" t="str">
        <f aca="false">IF($B33="","",IF($D33&gt;=5,"-",INDEX(IF($C33="Supporter",Nguong!$E$4:$E$8,Nguong!$C$4:$C$8),$D33+1)))</f>
        <v/>
      </c>
      <c r="AA33" s="16" t="str">
        <f aca="false">IF($B33="","",INDEX(IF($C33="Supporter",Nguong!$F$4:$F$8,Nguong!$D$4:$D$8),$D33))</f>
        <v/>
      </c>
      <c r="AB33" s="17" t="str">
        <f aca="false">IF($B33="","",IF($Y33="Không đạt",IF($D33=1,"Không đạt ĐK cần – SM/GĐKV xem xét","Xuống Level "&amp;($D33-1)&amp;" (không đạt ĐK cần)"),IF(AND($D33&lt;5,$Z33&lt;&gt;"-",$X33&lt;=$Z33,$N33="Có",$O33="Có"),"Lên Level "&amp;($D33+1),IF($X33&lt;=$AA33,"Giữ Level "&amp;$D33,"Xuống Level "&amp;($D33-1)&amp;" (ngoài ngưỡng giữ)"))))</f>
        <v/>
      </c>
    </row>
    <row r="34" customFormat="false" ht="15" hidden="false" customHeight="false" outlineLevel="0" collapsed="false">
      <c r="A34" s="7"/>
      <c r="B34" s="7"/>
      <c r="C34" s="8"/>
      <c r="D34" s="8"/>
      <c r="E34" s="8"/>
      <c r="F34" s="9"/>
      <c r="G34" s="9"/>
      <c r="H34" s="9"/>
      <c r="I34" s="9"/>
      <c r="J34" s="9"/>
      <c r="K34" s="9"/>
      <c r="L34" s="9"/>
      <c r="M34" s="8"/>
      <c r="N34" s="8"/>
      <c r="O34" s="8"/>
      <c r="P34" s="10" t="str">
        <f aca="false">IF($B34="","",IF(AND($C34="Supporter",$E34=4),3,$E34))</f>
        <v/>
      </c>
      <c r="Q34" s="11" t="str">
        <f aca="false">IF($B34="","",IF($G34&gt;0,$H34/$G34,0))</f>
        <v/>
      </c>
      <c r="R34" s="12" t="str">
        <f aca="false">IF($B34="","",IF($G34&gt;0,$I34/$G34,0))</f>
        <v/>
      </c>
      <c r="S34" s="13" t="str">
        <f aca="false">IF($B34="","",IF($W34&lt;=1,100,COUNTIFS($C$5:$C$204,$C34,$P$5:$P$204,$P34,$F$5:$F$204,"&lt;"&amp;$F34)/($W34-1)*100))</f>
        <v/>
      </c>
      <c r="T34" s="13" t="str">
        <f aca="false">IF($B34="","",IF($C34="Supporter","-",IF($W34&lt;=1,100,COUNTIFS($C$5:$C$204,$C34,$P$5:$P$204,$P34,$Q$5:$Q$204,"&lt;"&amp;$Q34)/($W34-1)*100)))</f>
        <v/>
      </c>
      <c r="U34" s="14" t="str">
        <f aca="false">IF($B34="","",IF($C34="Supporter",$S34,0.85*$S34+0.15*$T34))</f>
        <v/>
      </c>
      <c r="V34" s="10" t="str">
        <f aca="false">IF($B34="","",COUNTIFS($C$5:$C$204,$C34,$P$5:$P$204,$P34,$U$5:$U$204,"&gt;"&amp;$U34)+1)</f>
        <v/>
      </c>
      <c r="W34" s="10" t="str">
        <f aca="false">IF($B34="","",COUNTIFS($C$5:$C$204,$C34,$P$5:$P$204,$P34))</f>
        <v/>
      </c>
      <c r="X34" s="15" t="str">
        <f aca="false">IF($B34="","",$V34/$W34)</f>
        <v/>
      </c>
      <c r="Y34" s="10" t="str">
        <f aca="false">IF($B34="","",IF(AND($M34="Có",$J34&lt;=Nguong!$B$16,$K34&lt;=Nguong!$B$17,$L34&lt;=Nguong!$B$18,$R34&lt;=INDEX(Nguong!$B$4:$B$8,$D34)),"Đạt","Không đạt"))</f>
        <v/>
      </c>
      <c r="Z34" s="16" t="str">
        <f aca="false">IF($B34="","",IF($D34&gt;=5,"-",INDEX(IF($C34="Supporter",Nguong!$E$4:$E$8,Nguong!$C$4:$C$8),$D34+1)))</f>
        <v/>
      </c>
      <c r="AA34" s="16" t="str">
        <f aca="false">IF($B34="","",INDEX(IF($C34="Supporter",Nguong!$F$4:$F$8,Nguong!$D$4:$D$8),$D34))</f>
        <v/>
      </c>
      <c r="AB34" s="17" t="str">
        <f aca="false">IF($B34="","",IF($Y34="Không đạt",IF($D34=1,"Không đạt ĐK cần – SM/GĐKV xem xét","Xuống Level "&amp;($D34-1)&amp;" (không đạt ĐK cần)"),IF(AND($D34&lt;5,$Z34&lt;&gt;"-",$X34&lt;=$Z34,$N34="Có",$O34="Có"),"Lên Level "&amp;($D34+1),IF($X34&lt;=$AA34,"Giữ Level "&amp;$D34,"Xuống Level "&amp;($D34-1)&amp;" (ngoài ngưỡng giữ)"))))</f>
        <v/>
      </c>
    </row>
    <row r="35" customFormat="false" ht="15" hidden="false" customHeight="false" outlineLevel="0" collapsed="false">
      <c r="A35" s="7"/>
      <c r="B35" s="7"/>
      <c r="C35" s="8"/>
      <c r="D35" s="8"/>
      <c r="E35" s="8"/>
      <c r="F35" s="9"/>
      <c r="G35" s="9"/>
      <c r="H35" s="9"/>
      <c r="I35" s="9"/>
      <c r="J35" s="9"/>
      <c r="K35" s="9"/>
      <c r="L35" s="9"/>
      <c r="M35" s="8"/>
      <c r="N35" s="8"/>
      <c r="O35" s="8"/>
      <c r="P35" s="10" t="str">
        <f aca="false">IF($B35="","",IF(AND($C35="Supporter",$E35=4),3,$E35))</f>
        <v/>
      </c>
      <c r="Q35" s="11" t="str">
        <f aca="false">IF($B35="","",IF($G35&gt;0,$H35/$G35,0))</f>
        <v/>
      </c>
      <c r="R35" s="12" t="str">
        <f aca="false">IF($B35="","",IF($G35&gt;0,$I35/$G35,0))</f>
        <v/>
      </c>
      <c r="S35" s="13" t="str">
        <f aca="false">IF($B35="","",IF($W35&lt;=1,100,COUNTIFS($C$5:$C$204,$C35,$P$5:$P$204,$P35,$F$5:$F$204,"&lt;"&amp;$F35)/($W35-1)*100))</f>
        <v/>
      </c>
      <c r="T35" s="13" t="str">
        <f aca="false">IF($B35="","",IF($C35="Supporter","-",IF($W35&lt;=1,100,COUNTIFS($C$5:$C$204,$C35,$P$5:$P$204,$P35,$Q$5:$Q$204,"&lt;"&amp;$Q35)/($W35-1)*100)))</f>
        <v/>
      </c>
      <c r="U35" s="14" t="str">
        <f aca="false">IF($B35="","",IF($C35="Supporter",$S35,0.85*$S35+0.15*$T35))</f>
        <v/>
      </c>
      <c r="V35" s="10" t="str">
        <f aca="false">IF($B35="","",COUNTIFS($C$5:$C$204,$C35,$P$5:$P$204,$P35,$U$5:$U$204,"&gt;"&amp;$U35)+1)</f>
        <v/>
      </c>
      <c r="W35" s="10" t="str">
        <f aca="false">IF($B35="","",COUNTIFS($C$5:$C$204,$C35,$P$5:$P$204,$P35))</f>
        <v/>
      </c>
      <c r="X35" s="15" t="str">
        <f aca="false">IF($B35="","",$V35/$W35)</f>
        <v/>
      </c>
      <c r="Y35" s="10" t="str">
        <f aca="false">IF($B35="","",IF(AND($M35="Có",$J35&lt;=Nguong!$B$16,$K35&lt;=Nguong!$B$17,$L35&lt;=Nguong!$B$18,$R35&lt;=INDEX(Nguong!$B$4:$B$8,$D35)),"Đạt","Không đạt"))</f>
        <v/>
      </c>
      <c r="Z35" s="16" t="str">
        <f aca="false">IF($B35="","",IF($D35&gt;=5,"-",INDEX(IF($C35="Supporter",Nguong!$E$4:$E$8,Nguong!$C$4:$C$8),$D35+1)))</f>
        <v/>
      </c>
      <c r="AA35" s="16" t="str">
        <f aca="false">IF($B35="","",INDEX(IF($C35="Supporter",Nguong!$F$4:$F$8,Nguong!$D$4:$D$8),$D35))</f>
        <v/>
      </c>
      <c r="AB35" s="17" t="str">
        <f aca="false">IF($B35="","",IF($Y35="Không đạt",IF($D35=1,"Không đạt ĐK cần – SM/GĐKV xem xét","Xuống Level "&amp;($D35-1)&amp;" (không đạt ĐK cần)"),IF(AND($D35&lt;5,$Z35&lt;&gt;"-",$X35&lt;=$Z35,$N35="Có",$O35="Có"),"Lên Level "&amp;($D35+1),IF($X35&lt;=$AA35,"Giữ Level "&amp;$D35,"Xuống Level "&amp;($D35-1)&amp;" (ngoài ngưỡng giữ)"))))</f>
        <v/>
      </c>
    </row>
    <row r="36" customFormat="false" ht="15" hidden="false" customHeight="false" outlineLevel="0" collapsed="false">
      <c r="A36" s="7"/>
      <c r="B36" s="7"/>
      <c r="C36" s="8"/>
      <c r="D36" s="8"/>
      <c r="E36" s="8"/>
      <c r="F36" s="9"/>
      <c r="G36" s="9"/>
      <c r="H36" s="9"/>
      <c r="I36" s="9"/>
      <c r="J36" s="9"/>
      <c r="K36" s="9"/>
      <c r="L36" s="9"/>
      <c r="M36" s="8"/>
      <c r="N36" s="8"/>
      <c r="O36" s="8"/>
      <c r="P36" s="10" t="str">
        <f aca="false">IF($B36="","",IF(AND($C36="Supporter",$E36=4),3,$E36))</f>
        <v/>
      </c>
      <c r="Q36" s="11" t="str">
        <f aca="false">IF($B36="","",IF($G36&gt;0,$H36/$G36,0))</f>
        <v/>
      </c>
      <c r="R36" s="12" t="str">
        <f aca="false">IF($B36="","",IF($G36&gt;0,$I36/$G36,0))</f>
        <v/>
      </c>
      <c r="S36" s="13" t="str">
        <f aca="false">IF($B36="","",IF($W36&lt;=1,100,COUNTIFS($C$5:$C$204,$C36,$P$5:$P$204,$P36,$F$5:$F$204,"&lt;"&amp;$F36)/($W36-1)*100))</f>
        <v/>
      </c>
      <c r="T36" s="13" t="str">
        <f aca="false">IF($B36="","",IF($C36="Supporter","-",IF($W36&lt;=1,100,COUNTIFS($C$5:$C$204,$C36,$P$5:$P$204,$P36,$Q$5:$Q$204,"&lt;"&amp;$Q36)/($W36-1)*100)))</f>
        <v/>
      </c>
      <c r="U36" s="14" t="str">
        <f aca="false">IF($B36="","",IF($C36="Supporter",$S36,0.85*$S36+0.15*$T36))</f>
        <v/>
      </c>
      <c r="V36" s="10" t="str">
        <f aca="false">IF($B36="","",COUNTIFS($C$5:$C$204,$C36,$P$5:$P$204,$P36,$U$5:$U$204,"&gt;"&amp;$U36)+1)</f>
        <v/>
      </c>
      <c r="W36" s="10" t="str">
        <f aca="false">IF($B36="","",COUNTIFS($C$5:$C$204,$C36,$P$5:$P$204,$P36))</f>
        <v/>
      </c>
      <c r="X36" s="15" t="str">
        <f aca="false">IF($B36="","",$V36/$W36)</f>
        <v/>
      </c>
      <c r="Y36" s="10" t="str">
        <f aca="false">IF($B36="","",IF(AND($M36="Có",$J36&lt;=Nguong!$B$16,$K36&lt;=Nguong!$B$17,$L36&lt;=Nguong!$B$18,$R36&lt;=INDEX(Nguong!$B$4:$B$8,$D36)),"Đạt","Không đạt"))</f>
        <v/>
      </c>
      <c r="Z36" s="16" t="str">
        <f aca="false">IF($B36="","",IF($D36&gt;=5,"-",INDEX(IF($C36="Supporter",Nguong!$E$4:$E$8,Nguong!$C$4:$C$8),$D36+1)))</f>
        <v/>
      </c>
      <c r="AA36" s="16" t="str">
        <f aca="false">IF($B36="","",INDEX(IF($C36="Supporter",Nguong!$F$4:$F$8,Nguong!$D$4:$D$8),$D36))</f>
        <v/>
      </c>
      <c r="AB36" s="17" t="str">
        <f aca="false">IF($B36="","",IF($Y36="Không đạt",IF($D36=1,"Không đạt ĐK cần – SM/GĐKV xem xét","Xuống Level "&amp;($D36-1)&amp;" (không đạt ĐK cần)"),IF(AND($D36&lt;5,$Z36&lt;&gt;"-",$X36&lt;=$Z36,$N36="Có",$O36="Có"),"Lên Level "&amp;($D36+1),IF($X36&lt;=$AA36,"Giữ Level "&amp;$D36,"Xuống Level "&amp;($D36-1)&amp;" (ngoài ngưỡng giữ)"))))</f>
        <v/>
      </c>
    </row>
    <row r="37" customFormat="false" ht="15" hidden="false" customHeight="false" outlineLevel="0" collapsed="false">
      <c r="A37" s="7"/>
      <c r="B37" s="7"/>
      <c r="C37" s="8"/>
      <c r="D37" s="8"/>
      <c r="E37" s="8"/>
      <c r="F37" s="9"/>
      <c r="G37" s="9"/>
      <c r="H37" s="9"/>
      <c r="I37" s="9"/>
      <c r="J37" s="9"/>
      <c r="K37" s="9"/>
      <c r="L37" s="9"/>
      <c r="M37" s="8"/>
      <c r="N37" s="8"/>
      <c r="O37" s="8"/>
      <c r="P37" s="10" t="str">
        <f aca="false">IF($B37="","",IF(AND($C37="Supporter",$E37=4),3,$E37))</f>
        <v/>
      </c>
      <c r="Q37" s="11" t="str">
        <f aca="false">IF($B37="","",IF($G37&gt;0,$H37/$G37,0))</f>
        <v/>
      </c>
      <c r="R37" s="12" t="str">
        <f aca="false">IF($B37="","",IF($G37&gt;0,$I37/$G37,0))</f>
        <v/>
      </c>
      <c r="S37" s="13" t="str">
        <f aca="false">IF($B37="","",IF($W37&lt;=1,100,COUNTIFS($C$5:$C$204,$C37,$P$5:$P$204,$P37,$F$5:$F$204,"&lt;"&amp;$F37)/($W37-1)*100))</f>
        <v/>
      </c>
      <c r="T37" s="13" t="str">
        <f aca="false">IF($B37="","",IF($C37="Supporter","-",IF($W37&lt;=1,100,COUNTIFS($C$5:$C$204,$C37,$P$5:$P$204,$P37,$Q$5:$Q$204,"&lt;"&amp;$Q37)/($W37-1)*100)))</f>
        <v/>
      </c>
      <c r="U37" s="14" t="str">
        <f aca="false">IF($B37="","",IF($C37="Supporter",$S37,0.85*$S37+0.15*$T37))</f>
        <v/>
      </c>
      <c r="V37" s="10" t="str">
        <f aca="false">IF($B37="","",COUNTIFS($C$5:$C$204,$C37,$P$5:$P$204,$P37,$U$5:$U$204,"&gt;"&amp;$U37)+1)</f>
        <v/>
      </c>
      <c r="W37" s="10" t="str">
        <f aca="false">IF($B37="","",COUNTIFS($C$5:$C$204,$C37,$P$5:$P$204,$P37))</f>
        <v/>
      </c>
      <c r="X37" s="15" t="str">
        <f aca="false">IF($B37="","",$V37/$W37)</f>
        <v/>
      </c>
      <c r="Y37" s="10" t="str">
        <f aca="false">IF($B37="","",IF(AND($M37="Có",$J37&lt;=Nguong!$B$16,$K37&lt;=Nguong!$B$17,$L37&lt;=Nguong!$B$18,$R37&lt;=INDEX(Nguong!$B$4:$B$8,$D37)),"Đạt","Không đạt"))</f>
        <v/>
      </c>
      <c r="Z37" s="16" t="str">
        <f aca="false">IF($B37="","",IF($D37&gt;=5,"-",INDEX(IF($C37="Supporter",Nguong!$E$4:$E$8,Nguong!$C$4:$C$8),$D37+1)))</f>
        <v/>
      </c>
      <c r="AA37" s="16" t="str">
        <f aca="false">IF($B37="","",INDEX(IF($C37="Supporter",Nguong!$F$4:$F$8,Nguong!$D$4:$D$8),$D37))</f>
        <v/>
      </c>
      <c r="AB37" s="17" t="str">
        <f aca="false">IF($B37="","",IF($Y37="Không đạt",IF($D37=1,"Không đạt ĐK cần – SM/GĐKV xem xét","Xuống Level "&amp;($D37-1)&amp;" (không đạt ĐK cần)"),IF(AND($D37&lt;5,$Z37&lt;&gt;"-",$X37&lt;=$Z37,$N37="Có",$O37="Có"),"Lên Level "&amp;($D37+1),IF($X37&lt;=$AA37,"Giữ Level "&amp;$D37,"Xuống Level "&amp;($D37-1)&amp;" (ngoài ngưỡng giữ)"))))</f>
        <v/>
      </c>
    </row>
    <row r="38" customFormat="false" ht="15" hidden="false" customHeight="false" outlineLevel="0" collapsed="false">
      <c r="A38" s="7"/>
      <c r="B38" s="7"/>
      <c r="C38" s="8"/>
      <c r="D38" s="8"/>
      <c r="E38" s="8"/>
      <c r="F38" s="9"/>
      <c r="G38" s="9"/>
      <c r="H38" s="9"/>
      <c r="I38" s="9"/>
      <c r="J38" s="9"/>
      <c r="K38" s="9"/>
      <c r="L38" s="9"/>
      <c r="M38" s="8"/>
      <c r="N38" s="8"/>
      <c r="O38" s="8"/>
      <c r="P38" s="10" t="str">
        <f aca="false">IF($B38="","",IF(AND($C38="Supporter",$E38=4),3,$E38))</f>
        <v/>
      </c>
      <c r="Q38" s="11" t="str">
        <f aca="false">IF($B38="","",IF($G38&gt;0,$H38/$G38,0))</f>
        <v/>
      </c>
      <c r="R38" s="12" t="str">
        <f aca="false">IF($B38="","",IF($G38&gt;0,$I38/$G38,0))</f>
        <v/>
      </c>
      <c r="S38" s="13" t="str">
        <f aca="false">IF($B38="","",IF($W38&lt;=1,100,COUNTIFS($C$5:$C$204,$C38,$P$5:$P$204,$P38,$F$5:$F$204,"&lt;"&amp;$F38)/($W38-1)*100))</f>
        <v/>
      </c>
      <c r="T38" s="13" t="str">
        <f aca="false">IF($B38="","",IF($C38="Supporter","-",IF($W38&lt;=1,100,COUNTIFS($C$5:$C$204,$C38,$P$5:$P$204,$P38,$Q$5:$Q$204,"&lt;"&amp;$Q38)/($W38-1)*100)))</f>
        <v/>
      </c>
      <c r="U38" s="14" t="str">
        <f aca="false">IF($B38="","",IF($C38="Supporter",$S38,0.85*$S38+0.15*$T38))</f>
        <v/>
      </c>
      <c r="V38" s="10" t="str">
        <f aca="false">IF($B38="","",COUNTIFS($C$5:$C$204,$C38,$P$5:$P$204,$P38,$U$5:$U$204,"&gt;"&amp;$U38)+1)</f>
        <v/>
      </c>
      <c r="W38" s="10" t="str">
        <f aca="false">IF($B38="","",COUNTIFS($C$5:$C$204,$C38,$P$5:$P$204,$P38))</f>
        <v/>
      </c>
      <c r="X38" s="15" t="str">
        <f aca="false">IF($B38="","",$V38/$W38)</f>
        <v/>
      </c>
      <c r="Y38" s="10" t="str">
        <f aca="false">IF($B38="","",IF(AND($M38="Có",$J38&lt;=Nguong!$B$16,$K38&lt;=Nguong!$B$17,$L38&lt;=Nguong!$B$18,$R38&lt;=INDEX(Nguong!$B$4:$B$8,$D38)),"Đạt","Không đạt"))</f>
        <v/>
      </c>
      <c r="Z38" s="16" t="str">
        <f aca="false">IF($B38="","",IF($D38&gt;=5,"-",INDEX(IF($C38="Supporter",Nguong!$E$4:$E$8,Nguong!$C$4:$C$8),$D38+1)))</f>
        <v/>
      </c>
      <c r="AA38" s="16" t="str">
        <f aca="false">IF($B38="","",INDEX(IF($C38="Supporter",Nguong!$F$4:$F$8,Nguong!$D$4:$D$8),$D38))</f>
        <v/>
      </c>
      <c r="AB38" s="17" t="str">
        <f aca="false">IF($B38="","",IF($Y38="Không đạt",IF($D38=1,"Không đạt ĐK cần – SM/GĐKV xem xét","Xuống Level "&amp;($D38-1)&amp;" (không đạt ĐK cần)"),IF(AND($D38&lt;5,$Z38&lt;&gt;"-",$X38&lt;=$Z38,$N38="Có",$O38="Có"),"Lên Level "&amp;($D38+1),IF($X38&lt;=$AA38,"Giữ Level "&amp;$D38,"Xuống Level "&amp;($D38-1)&amp;" (ngoài ngưỡng giữ)"))))</f>
        <v/>
      </c>
    </row>
    <row r="39" customFormat="false" ht="15" hidden="false" customHeight="false" outlineLevel="0" collapsed="false">
      <c r="A39" s="7"/>
      <c r="B39" s="7"/>
      <c r="C39" s="8"/>
      <c r="D39" s="8"/>
      <c r="E39" s="8"/>
      <c r="F39" s="9"/>
      <c r="G39" s="9"/>
      <c r="H39" s="9"/>
      <c r="I39" s="9"/>
      <c r="J39" s="9"/>
      <c r="K39" s="9"/>
      <c r="L39" s="9"/>
      <c r="M39" s="8"/>
      <c r="N39" s="8"/>
      <c r="O39" s="8"/>
      <c r="P39" s="10" t="str">
        <f aca="false">IF($B39="","",IF(AND($C39="Supporter",$E39=4),3,$E39))</f>
        <v/>
      </c>
      <c r="Q39" s="11" t="str">
        <f aca="false">IF($B39="","",IF($G39&gt;0,$H39/$G39,0))</f>
        <v/>
      </c>
      <c r="R39" s="12" t="str">
        <f aca="false">IF($B39="","",IF($G39&gt;0,$I39/$G39,0))</f>
        <v/>
      </c>
      <c r="S39" s="13" t="str">
        <f aca="false">IF($B39="","",IF($W39&lt;=1,100,COUNTIFS($C$5:$C$204,$C39,$P$5:$P$204,$P39,$F$5:$F$204,"&lt;"&amp;$F39)/($W39-1)*100))</f>
        <v/>
      </c>
      <c r="T39" s="13" t="str">
        <f aca="false">IF($B39="","",IF($C39="Supporter","-",IF($W39&lt;=1,100,COUNTIFS($C$5:$C$204,$C39,$P$5:$P$204,$P39,$Q$5:$Q$204,"&lt;"&amp;$Q39)/($W39-1)*100)))</f>
        <v/>
      </c>
      <c r="U39" s="14" t="str">
        <f aca="false">IF($B39="","",IF($C39="Supporter",$S39,0.85*$S39+0.15*$T39))</f>
        <v/>
      </c>
      <c r="V39" s="10" t="str">
        <f aca="false">IF($B39="","",COUNTIFS($C$5:$C$204,$C39,$P$5:$P$204,$P39,$U$5:$U$204,"&gt;"&amp;$U39)+1)</f>
        <v/>
      </c>
      <c r="W39" s="10" t="str">
        <f aca="false">IF($B39="","",COUNTIFS($C$5:$C$204,$C39,$P$5:$P$204,$P39))</f>
        <v/>
      </c>
      <c r="X39" s="15" t="str">
        <f aca="false">IF($B39="","",$V39/$W39)</f>
        <v/>
      </c>
      <c r="Y39" s="10" t="str">
        <f aca="false">IF($B39="","",IF(AND($M39="Có",$J39&lt;=Nguong!$B$16,$K39&lt;=Nguong!$B$17,$L39&lt;=Nguong!$B$18,$R39&lt;=INDEX(Nguong!$B$4:$B$8,$D39)),"Đạt","Không đạt"))</f>
        <v/>
      </c>
      <c r="Z39" s="16" t="str">
        <f aca="false">IF($B39="","",IF($D39&gt;=5,"-",INDEX(IF($C39="Supporter",Nguong!$E$4:$E$8,Nguong!$C$4:$C$8),$D39+1)))</f>
        <v/>
      </c>
      <c r="AA39" s="16" t="str">
        <f aca="false">IF($B39="","",INDEX(IF($C39="Supporter",Nguong!$F$4:$F$8,Nguong!$D$4:$D$8),$D39))</f>
        <v/>
      </c>
      <c r="AB39" s="17" t="str">
        <f aca="false">IF($B39="","",IF($Y39="Không đạt",IF($D39=1,"Không đạt ĐK cần – SM/GĐKV xem xét","Xuống Level "&amp;($D39-1)&amp;" (không đạt ĐK cần)"),IF(AND($D39&lt;5,$Z39&lt;&gt;"-",$X39&lt;=$Z39,$N39="Có",$O39="Có"),"Lên Level "&amp;($D39+1),IF($X39&lt;=$AA39,"Giữ Level "&amp;$D39,"Xuống Level "&amp;($D39-1)&amp;" (ngoài ngưỡng giữ)"))))</f>
        <v/>
      </c>
    </row>
    <row r="40" customFormat="false" ht="15" hidden="false" customHeight="false" outlineLevel="0" collapsed="false">
      <c r="A40" s="7"/>
      <c r="B40" s="7"/>
      <c r="C40" s="8"/>
      <c r="D40" s="8"/>
      <c r="E40" s="8"/>
      <c r="F40" s="9"/>
      <c r="G40" s="9"/>
      <c r="H40" s="9"/>
      <c r="I40" s="9"/>
      <c r="J40" s="9"/>
      <c r="K40" s="9"/>
      <c r="L40" s="9"/>
      <c r="M40" s="8"/>
      <c r="N40" s="8"/>
      <c r="O40" s="8"/>
      <c r="P40" s="10" t="str">
        <f aca="false">IF($B40="","",IF(AND($C40="Supporter",$E40=4),3,$E40))</f>
        <v/>
      </c>
      <c r="Q40" s="11" t="str">
        <f aca="false">IF($B40="","",IF($G40&gt;0,$H40/$G40,0))</f>
        <v/>
      </c>
      <c r="R40" s="12" t="str">
        <f aca="false">IF($B40="","",IF($G40&gt;0,$I40/$G40,0))</f>
        <v/>
      </c>
      <c r="S40" s="13" t="str">
        <f aca="false">IF($B40="","",IF($W40&lt;=1,100,COUNTIFS($C$5:$C$204,$C40,$P$5:$P$204,$P40,$F$5:$F$204,"&lt;"&amp;$F40)/($W40-1)*100))</f>
        <v/>
      </c>
      <c r="T40" s="13" t="str">
        <f aca="false">IF($B40="","",IF($C40="Supporter","-",IF($W40&lt;=1,100,COUNTIFS($C$5:$C$204,$C40,$P$5:$P$204,$P40,$Q$5:$Q$204,"&lt;"&amp;$Q40)/($W40-1)*100)))</f>
        <v/>
      </c>
      <c r="U40" s="14" t="str">
        <f aca="false">IF($B40="","",IF($C40="Supporter",$S40,0.85*$S40+0.15*$T40))</f>
        <v/>
      </c>
      <c r="V40" s="10" t="str">
        <f aca="false">IF($B40="","",COUNTIFS($C$5:$C$204,$C40,$P$5:$P$204,$P40,$U$5:$U$204,"&gt;"&amp;$U40)+1)</f>
        <v/>
      </c>
      <c r="W40" s="10" t="str">
        <f aca="false">IF($B40="","",COUNTIFS($C$5:$C$204,$C40,$P$5:$P$204,$P40))</f>
        <v/>
      </c>
      <c r="X40" s="15" t="str">
        <f aca="false">IF($B40="","",$V40/$W40)</f>
        <v/>
      </c>
      <c r="Y40" s="10" t="str">
        <f aca="false">IF($B40="","",IF(AND($M40="Có",$J40&lt;=Nguong!$B$16,$K40&lt;=Nguong!$B$17,$L40&lt;=Nguong!$B$18,$R40&lt;=INDEX(Nguong!$B$4:$B$8,$D40)),"Đạt","Không đạt"))</f>
        <v/>
      </c>
      <c r="Z40" s="16" t="str">
        <f aca="false">IF($B40="","",IF($D40&gt;=5,"-",INDEX(IF($C40="Supporter",Nguong!$E$4:$E$8,Nguong!$C$4:$C$8),$D40+1)))</f>
        <v/>
      </c>
      <c r="AA40" s="16" t="str">
        <f aca="false">IF($B40="","",INDEX(IF($C40="Supporter",Nguong!$F$4:$F$8,Nguong!$D$4:$D$8),$D40))</f>
        <v/>
      </c>
      <c r="AB40" s="17" t="str">
        <f aca="false">IF($B40="","",IF($Y40="Không đạt",IF($D40=1,"Không đạt ĐK cần – SM/GĐKV xem xét","Xuống Level "&amp;($D40-1)&amp;" (không đạt ĐK cần)"),IF(AND($D40&lt;5,$Z40&lt;&gt;"-",$X40&lt;=$Z40,$N40="Có",$O40="Có"),"Lên Level "&amp;($D40+1),IF($X40&lt;=$AA40,"Giữ Level "&amp;$D40,"Xuống Level "&amp;($D40-1)&amp;" (ngoài ngưỡng giữ)"))))</f>
        <v/>
      </c>
    </row>
    <row r="41" customFormat="false" ht="15" hidden="false" customHeight="false" outlineLevel="0" collapsed="false">
      <c r="A41" s="7"/>
      <c r="B41" s="7"/>
      <c r="C41" s="8"/>
      <c r="D41" s="8"/>
      <c r="E41" s="8"/>
      <c r="F41" s="9"/>
      <c r="G41" s="9"/>
      <c r="H41" s="9"/>
      <c r="I41" s="9"/>
      <c r="J41" s="9"/>
      <c r="K41" s="9"/>
      <c r="L41" s="9"/>
      <c r="M41" s="8"/>
      <c r="N41" s="8"/>
      <c r="O41" s="8"/>
      <c r="P41" s="10" t="str">
        <f aca="false">IF($B41="","",IF(AND($C41="Supporter",$E41=4),3,$E41))</f>
        <v/>
      </c>
      <c r="Q41" s="11" t="str">
        <f aca="false">IF($B41="","",IF($G41&gt;0,$H41/$G41,0))</f>
        <v/>
      </c>
      <c r="R41" s="12" t="str">
        <f aca="false">IF($B41="","",IF($G41&gt;0,$I41/$G41,0))</f>
        <v/>
      </c>
      <c r="S41" s="13" t="str">
        <f aca="false">IF($B41="","",IF($W41&lt;=1,100,COUNTIFS($C$5:$C$204,$C41,$P$5:$P$204,$P41,$F$5:$F$204,"&lt;"&amp;$F41)/($W41-1)*100))</f>
        <v/>
      </c>
      <c r="T41" s="13" t="str">
        <f aca="false">IF($B41="","",IF($C41="Supporter","-",IF($W41&lt;=1,100,COUNTIFS($C$5:$C$204,$C41,$P$5:$P$204,$P41,$Q$5:$Q$204,"&lt;"&amp;$Q41)/($W41-1)*100)))</f>
        <v/>
      </c>
      <c r="U41" s="14" t="str">
        <f aca="false">IF($B41="","",IF($C41="Supporter",$S41,0.85*$S41+0.15*$T41))</f>
        <v/>
      </c>
      <c r="V41" s="10" t="str">
        <f aca="false">IF($B41="","",COUNTIFS($C$5:$C$204,$C41,$P$5:$P$204,$P41,$U$5:$U$204,"&gt;"&amp;$U41)+1)</f>
        <v/>
      </c>
      <c r="W41" s="10" t="str">
        <f aca="false">IF($B41="","",COUNTIFS($C$5:$C$204,$C41,$P$5:$P$204,$P41))</f>
        <v/>
      </c>
      <c r="X41" s="15" t="str">
        <f aca="false">IF($B41="","",$V41/$W41)</f>
        <v/>
      </c>
      <c r="Y41" s="10" t="str">
        <f aca="false">IF($B41="","",IF(AND($M41="Có",$J41&lt;=Nguong!$B$16,$K41&lt;=Nguong!$B$17,$L41&lt;=Nguong!$B$18,$R41&lt;=INDEX(Nguong!$B$4:$B$8,$D41)),"Đạt","Không đạt"))</f>
        <v/>
      </c>
      <c r="Z41" s="16" t="str">
        <f aca="false">IF($B41="","",IF($D41&gt;=5,"-",INDEX(IF($C41="Supporter",Nguong!$E$4:$E$8,Nguong!$C$4:$C$8),$D41+1)))</f>
        <v/>
      </c>
      <c r="AA41" s="16" t="str">
        <f aca="false">IF($B41="","",INDEX(IF($C41="Supporter",Nguong!$F$4:$F$8,Nguong!$D$4:$D$8),$D41))</f>
        <v/>
      </c>
      <c r="AB41" s="17" t="str">
        <f aca="false">IF($B41="","",IF($Y41="Không đạt",IF($D41=1,"Không đạt ĐK cần – SM/GĐKV xem xét","Xuống Level "&amp;($D41-1)&amp;" (không đạt ĐK cần)"),IF(AND($D41&lt;5,$Z41&lt;&gt;"-",$X41&lt;=$Z41,$N41="Có",$O41="Có"),"Lên Level "&amp;($D41+1),IF($X41&lt;=$AA41,"Giữ Level "&amp;$D41,"Xuống Level "&amp;($D41-1)&amp;" (ngoài ngưỡng giữ)"))))</f>
        <v/>
      </c>
    </row>
    <row r="42" customFormat="false" ht="15" hidden="false" customHeight="false" outlineLevel="0" collapsed="false">
      <c r="A42" s="7"/>
      <c r="B42" s="7"/>
      <c r="C42" s="8"/>
      <c r="D42" s="8"/>
      <c r="E42" s="8"/>
      <c r="F42" s="9"/>
      <c r="G42" s="9"/>
      <c r="H42" s="9"/>
      <c r="I42" s="9"/>
      <c r="J42" s="9"/>
      <c r="K42" s="9"/>
      <c r="L42" s="9"/>
      <c r="M42" s="8"/>
      <c r="N42" s="8"/>
      <c r="O42" s="8"/>
      <c r="P42" s="10" t="str">
        <f aca="false">IF($B42="","",IF(AND($C42="Supporter",$E42=4),3,$E42))</f>
        <v/>
      </c>
      <c r="Q42" s="11" t="str">
        <f aca="false">IF($B42="","",IF($G42&gt;0,$H42/$G42,0))</f>
        <v/>
      </c>
      <c r="R42" s="12" t="str">
        <f aca="false">IF($B42="","",IF($G42&gt;0,$I42/$G42,0))</f>
        <v/>
      </c>
      <c r="S42" s="13" t="str">
        <f aca="false">IF($B42="","",IF($W42&lt;=1,100,COUNTIFS($C$5:$C$204,$C42,$P$5:$P$204,$P42,$F$5:$F$204,"&lt;"&amp;$F42)/($W42-1)*100))</f>
        <v/>
      </c>
      <c r="T42" s="13" t="str">
        <f aca="false">IF($B42="","",IF($C42="Supporter","-",IF($W42&lt;=1,100,COUNTIFS($C$5:$C$204,$C42,$P$5:$P$204,$P42,$Q$5:$Q$204,"&lt;"&amp;$Q42)/($W42-1)*100)))</f>
        <v/>
      </c>
      <c r="U42" s="14" t="str">
        <f aca="false">IF($B42="","",IF($C42="Supporter",$S42,0.85*$S42+0.15*$T42))</f>
        <v/>
      </c>
      <c r="V42" s="10" t="str">
        <f aca="false">IF($B42="","",COUNTIFS($C$5:$C$204,$C42,$P$5:$P$204,$P42,$U$5:$U$204,"&gt;"&amp;$U42)+1)</f>
        <v/>
      </c>
      <c r="W42" s="10" t="str">
        <f aca="false">IF($B42="","",COUNTIFS($C$5:$C$204,$C42,$P$5:$P$204,$P42))</f>
        <v/>
      </c>
      <c r="X42" s="15" t="str">
        <f aca="false">IF($B42="","",$V42/$W42)</f>
        <v/>
      </c>
      <c r="Y42" s="10" t="str">
        <f aca="false">IF($B42="","",IF(AND($M42="Có",$J42&lt;=Nguong!$B$16,$K42&lt;=Nguong!$B$17,$L42&lt;=Nguong!$B$18,$R42&lt;=INDEX(Nguong!$B$4:$B$8,$D42)),"Đạt","Không đạt"))</f>
        <v/>
      </c>
      <c r="Z42" s="16" t="str">
        <f aca="false">IF($B42="","",IF($D42&gt;=5,"-",INDEX(IF($C42="Supporter",Nguong!$E$4:$E$8,Nguong!$C$4:$C$8),$D42+1)))</f>
        <v/>
      </c>
      <c r="AA42" s="16" t="str">
        <f aca="false">IF($B42="","",INDEX(IF($C42="Supporter",Nguong!$F$4:$F$8,Nguong!$D$4:$D$8),$D42))</f>
        <v/>
      </c>
      <c r="AB42" s="17" t="str">
        <f aca="false">IF($B42="","",IF($Y42="Không đạt",IF($D42=1,"Không đạt ĐK cần – SM/GĐKV xem xét","Xuống Level "&amp;($D42-1)&amp;" (không đạt ĐK cần)"),IF(AND($D42&lt;5,$Z42&lt;&gt;"-",$X42&lt;=$Z42,$N42="Có",$O42="Có"),"Lên Level "&amp;($D42+1),IF($X42&lt;=$AA42,"Giữ Level "&amp;$D42,"Xuống Level "&amp;($D42-1)&amp;" (ngoài ngưỡng giữ)"))))</f>
        <v/>
      </c>
    </row>
    <row r="43" customFormat="false" ht="15" hidden="false" customHeight="false" outlineLevel="0" collapsed="false">
      <c r="A43" s="7"/>
      <c r="B43" s="7"/>
      <c r="C43" s="8"/>
      <c r="D43" s="8"/>
      <c r="E43" s="8"/>
      <c r="F43" s="9"/>
      <c r="G43" s="9"/>
      <c r="H43" s="9"/>
      <c r="I43" s="9"/>
      <c r="J43" s="9"/>
      <c r="K43" s="9"/>
      <c r="L43" s="9"/>
      <c r="M43" s="8"/>
      <c r="N43" s="8"/>
      <c r="O43" s="8"/>
      <c r="P43" s="10" t="str">
        <f aca="false">IF($B43="","",IF(AND($C43="Supporter",$E43=4),3,$E43))</f>
        <v/>
      </c>
      <c r="Q43" s="11" t="str">
        <f aca="false">IF($B43="","",IF($G43&gt;0,$H43/$G43,0))</f>
        <v/>
      </c>
      <c r="R43" s="12" t="str">
        <f aca="false">IF($B43="","",IF($G43&gt;0,$I43/$G43,0))</f>
        <v/>
      </c>
      <c r="S43" s="13" t="str">
        <f aca="false">IF($B43="","",IF($W43&lt;=1,100,COUNTIFS($C$5:$C$204,$C43,$P$5:$P$204,$P43,$F$5:$F$204,"&lt;"&amp;$F43)/($W43-1)*100))</f>
        <v/>
      </c>
      <c r="T43" s="13" t="str">
        <f aca="false">IF($B43="","",IF($C43="Supporter","-",IF($W43&lt;=1,100,COUNTIFS($C$5:$C$204,$C43,$P$5:$P$204,$P43,$Q$5:$Q$204,"&lt;"&amp;$Q43)/($W43-1)*100)))</f>
        <v/>
      </c>
      <c r="U43" s="14" t="str">
        <f aca="false">IF($B43="","",IF($C43="Supporter",$S43,0.85*$S43+0.15*$T43))</f>
        <v/>
      </c>
      <c r="V43" s="10" t="str">
        <f aca="false">IF($B43="","",COUNTIFS($C$5:$C$204,$C43,$P$5:$P$204,$P43,$U$5:$U$204,"&gt;"&amp;$U43)+1)</f>
        <v/>
      </c>
      <c r="W43" s="10" t="str">
        <f aca="false">IF($B43="","",COUNTIFS($C$5:$C$204,$C43,$P$5:$P$204,$P43))</f>
        <v/>
      </c>
      <c r="X43" s="15" t="str">
        <f aca="false">IF($B43="","",$V43/$W43)</f>
        <v/>
      </c>
      <c r="Y43" s="10" t="str">
        <f aca="false">IF($B43="","",IF(AND($M43="Có",$J43&lt;=Nguong!$B$16,$K43&lt;=Nguong!$B$17,$L43&lt;=Nguong!$B$18,$R43&lt;=INDEX(Nguong!$B$4:$B$8,$D43)),"Đạt","Không đạt"))</f>
        <v/>
      </c>
      <c r="Z43" s="16" t="str">
        <f aca="false">IF($B43="","",IF($D43&gt;=5,"-",INDEX(IF($C43="Supporter",Nguong!$E$4:$E$8,Nguong!$C$4:$C$8),$D43+1)))</f>
        <v/>
      </c>
      <c r="AA43" s="16" t="str">
        <f aca="false">IF($B43="","",INDEX(IF($C43="Supporter",Nguong!$F$4:$F$8,Nguong!$D$4:$D$8),$D43))</f>
        <v/>
      </c>
      <c r="AB43" s="17" t="str">
        <f aca="false">IF($B43="","",IF($Y43="Không đạt",IF($D43=1,"Không đạt ĐK cần – SM/GĐKV xem xét","Xuống Level "&amp;($D43-1)&amp;" (không đạt ĐK cần)"),IF(AND($D43&lt;5,$Z43&lt;&gt;"-",$X43&lt;=$Z43,$N43="Có",$O43="Có"),"Lên Level "&amp;($D43+1),IF($X43&lt;=$AA43,"Giữ Level "&amp;$D43,"Xuống Level "&amp;($D43-1)&amp;" (ngoài ngưỡng giữ)"))))</f>
        <v/>
      </c>
    </row>
    <row r="44" customFormat="false" ht="15" hidden="false" customHeight="false" outlineLevel="0" collapsed="false">
      <c r="A44" s="7"/>
      <c r="B44" s="7"/>
      <c r="C44" s="8"/>
      <c r="D44" s="8"/>
      <c r="E44" s="8"/>
      <c r="F44" s="9"/>
      <c r="G44" s="9"/>
      <c r="H44" s="9"/>
      <c r="I44" s="9"/>
      <c r="J44" s="9"/>
      <c r="K44" s="9"/>
      <c r="L44" s="9"/>
      <c r="M44" s="8"/>
      <c r="N44" s="8"/>
      <c r="O44" s="8"/>
      <c r="P44" s="10" t="str">
        <f aca="false">IF($B44="","",IF(AND($C44="Supporter",$E44=4),3,$E44))</f>
        <v/>
      </c>
      <c r="Q44" s="11" t="str">
        <f aca="false">IF($B44="","",IF($G44&gt;0,$H44/$G44,0))</f>
        <v/>
      </c>
      <c r="R44" s="12" t="str">
        <f aca="false">IF($B44="","",IF($G44&gt;0,$I44/$G44,0))</f>
        <v/>
      </c>
      <c r="S44" s="13" t="str">
        <f aca="false">IF($B44="","",IF($W44&lt;=1,100,COUNTIFS($C$5:$C$204,$C44,$P$5:$P$204,$P44,$F$5:$F$204,"&lt;"&amp;$F44)/($W44-1)*100))</f>
        <v/>
      </c>
      <c r="T44" s="13" t="str">
        <f aca="false">IF($B44="","",IF($C44="Supporter","-",IF($W44&lt;=1,100,COUNTIFS($C$5:$C$204,$C44,$P$5:$P$204,$P44,$Q$5:$Q$204,"&lt;"&amp;$Q44)/($W44-1)*100)))</f>
        <v/>
      </c>
      <c r="U44" s="14" t="str">
        <f aca="false">IF($B44="","",IF($C44="Supporter",$S44,0.85*$S44+0.15*$T44))</f>
        <v/>
      </c>
      <c r="V44" s="10" t="str">
        <f aca="false">IF($B44="","",COUNTIFS($C$5:$C$204,$C44,$P$5:$P$204,$P44,$U$5:$U$204,"&gt;"&amp;$U44)+1)</f>
        <v/>
      </c>
      <c r="W44" s="10" t="str">
        <f aca="false">IF($B44="","",COUNTIFS($C$5:$C$204,$C44,$P$5:$P$204,$P44))</f>
        <v/>
      </c>
      <c r="X44" s="15" t="str">
        <f aca="false">IF($B44="","",$V44/$W44)</f>
        <v/>
      </c>
      <c r="Y44" s="10" t="str">
        <f aca="false">IF($B44="","",IF(AND($M44="Có",$J44&lt;=Nguong!$B$16,$K44&lt;=Nguong!$B$17,$L44&lt;=Nguong!$B$18,$R44&lt;=INDEX(Nguong!$B$4:$B$8,$D44)),"Đạt","Không đạt"))</f>
        <v/>
      </c>
      <c r="Z44" s="16" t="str">
        <f aca="false">IF($B44="","",IF($D44&gt;=5,"-",INDEX(IF($C44="Supporter",Nguong!$E$4:$E$8,Nguong!$C$4:$C$8),$D44+1)))</f>
        <v/>
      </c>
      <c r="AA44" s="16" t="str">
        <f aca="false">IF($B44="","",INDEX(IF($C44="Supporter",Nguong!$F$4:$F$8,Nguong!$D$4:$D$8),$D44))</f>
        <v/>
      </c>
      <c r="AB44" s="17" t="str">
        <f aca="false">IF($B44="","",IF($Y44="Không đạt",IF($D44=1,"Không đạt ĐK cần – SM/GĐKV xem xét","Xuống Level "&amp;($D44-1)&amp;" (không đạt ĐK cần)"),IF(AND($D44&lt;5,$Z44&lt;&gt;"-",$X44&lt;=$Z44,$N44="Có",$O44="Có"),"Lên Level "&amp;($D44+1),IF($X44&lt;=$AA44,"Giữ Level "&amp;$D44,"Xuống Level "&amp;($D44-1)&amp;" (ngoài ngưỡng giữ)"))))</f>
        <v/>
      </c>
    </row>
    <row r="45" customFormat="false" ht="15" hidden="false" customHeight="false" outlineLevel="0" collapsed="false">
      <c r="A45" s="7"/>
      <c r="B45" s="7"/>
      <c r="C45" s="8"/>
      <c r="D45" s="8"/>
      <c r="E45" s="8"/>
      <c r="F45" s="9"/>
      <c r="G45" s="9"/>
      <c r="H45" s="9"/>
      <c r="I45" s="9"/>
      <c r="J45" s="9"/>
      <c r="K45" s="9"/>
      <c r="L45" s="9"/>
      <c r="M45" s="8"/>
      <c r="N45" s="8"/>
      <c r="O45" s="8"/>
      <c r="P45" s="10" t="str">
        <f aca="false">IF($B45="","",IF(AND($C45="Supporter",$E45=4),3,$E45))</f>
        <v/>
      </c>
      <c r="Q45" s="11" t="str">
        <f aca="false">IF($B45="","",IF($G45&gt;0,$H45/$G45,0))</f>
        <v/>
      </c>
      <c r="R45" s="12" t="str">
        <f aca="false">IF($B45="","",IF($G45&gt;0,$I45/$G45,0))</f>
        <v/>
      </c>
      <c r="S45" s="13" t="str">
        <f aca="false">IF($B45="","",IF($W45&lt;=1,100,COUNTIFS($C$5:$C$204,$C45,$P$5:$P$204,$P45,$F$5:$F$204,"&lt;"&amp;$F45)/($W45-1)*100))</f>
        <v/>
      </c>
      <c r="T45" s="13" t="str">
        <f aca="false">IF($B45="","",IF($C45="Supporter","-",IF($W45&lt;=1,100,COUNTIFS($C$5:$C$204,$C45,$P$5:$P$204,$P45,$Q$5:$Q$204,"&lt;"&amp;$Q45)/($W45-1)*100)))</f>
        <v/>
      </c>
      <c r="U45" s="14" t="str">
        <f aca="false">IF($B45="","",IF($C45="Supporter",$S45,0.85*$S45+0.15*$T45))</f>
        <v/>
      </c>
      <c r="V45" s="10" t="str">
        <f aca="false">IF($B45="","",COUNTIFS($C$5:$C$204,$C45,$P$5:$P$204,$P45,$U$5:$U$204,"&gt;"&amp;$U45)+1)</f>
        <v/>
      </c>
      <c r="W45" s="10" t="str">
        <f aca="false">IF($B45="","",COUNTIFS($C$5:$C$204,$C45,$P$5:$P$204,$P45))</f>
        <v/>
      </c>
      <c r="X45" s="15" t="str">
        <f aca="false">IF($B45="","",$V45/$W45)</f>
        <v/>
      </c>
      <c r="Y45" s="10" t="str">
        <f aca="false">IF($B45="","",IF(AND($M45="Có",$J45&lt;=Nguong!$B$16,$K45&lt;=Nguong!$B$17,$L45&lt;=Nguong!$B$18,$R45&lt;=INDEX(Nguong!$B$4:$B$8,$D45)),"Đạt","Không đạt"))</f>
        <v/>
      </c>
      <c r="Z45" s="16" t="str">
        <f aca="false">IF($B45="","",IF($D45&gt;=5,"-",INDEX(IF($C45="Supporter",Nguong!$E$4:$E$8,Nguong!$C$4:$C$8),$D45+1)))</f>
        <v/>
      </c>
      <c r="AA45" s="16" t="str">
        <f aca="false">IF($B45="","",INDEX(IF($C45="Supporter",Nguong!$F$4:$F$8,Nguong!$D$4:$D$8),$D45))</f>
        <v/>
      </c>
      <c r="AB45" s="17" t="str">
        <f aca="false">IF($B45="","",IF($Y45="Không đạt",IF($D45=1,"Không đạt ĐK cần – SM/GĐKV xem xét","Xuống Level "&amp;($D45-1)&amp;" (không đạt ĐK cần)"),IF(AND($D45&lt;5,$Z45&lt;&gt;"-",$X45&lt;=$Z45,$N45="Có",$O45="Có"),"Lên Level "&amp;($D45+1),IF($X45&lt;=$AA45,"Giữ Level "&amp;$D45,"Xuống Level "&amp;($D45-1)&amp;" (ngoài ngưỡng giữ)"))))</f>
        <v/>
      </c>
    </row>
    <row r="46" customFormat="false" ht="15" hidden="false" customHeight="false" outlineLevel="0" collapsed="false">
      <c r="A46" s="7"/>
      <c r="B46" s="7"/>
      <c r="C46" s="8"/>
      <c r="D46" s="8"/>
      <c r="E46" s="8"/>
      <c r="F46" s="9"/>
      <c r="G46" s="9"/>
      <c r="H46" s="9"/>
      <c r="I46" s="9"/>
      <c r="J46" s="9"/>
      <c r="K46" s="9"/>
      <c r="L46" s="9"/>
      <c r="M46" s="8"/>
      <c r="N46" s="8"/>
      <c r="O46" s="8"/>
      <c r="P46" s="10" t="str">
        <f aca="false">IF($B46="","",IF(AND($C46="Supporter",$E46=4),3,$E46))</f>
        <v/>
      </c>
      <c r="Q46" s="11" t="str">
        <f aca="false">IF($B46="","",IF($G46&gt;0,$H46/$G46,0))</f>
        <v/>
      </c>
      <c r="R46" s="12" t="str">
        <f aca="false">IF($B46="","",IF($G46&gt;0,$I46/$G46,0))</f>
        <v/>
      </c>
      <c r="S46" s="13" t="str">
        <f aca="false">IF($B46="","",IF($W46&lt;=1,100,COUNTIFS($C$5:$C$204,$C46,$P$5:$P$204,$P46,$F$5:$F$204,"&lt;"&amp;$F46)/($W46-1)*100))</f>
        <v/>
      </c>
      <c r="T46" s="13" t="str">
        <f aca="false">IF($B46="","",IF($C46="Supporter","-",IF($W46&lt;=1,100,COUNTIFS($C$5:$C$204,$C46,$P$5:$P$204,$P46,$Q$5:$Q$204,"&lt;"&amp;$Q46)/($W46-1)*100)))</f>
        <v/>
      </c>
      <c r="U46" s="14" t="str">
        <f aca="false">IF($B46="","",IF($C46="Supporter",$S46,0.85*$S46+0.15*$T46))</f>
        <v/>
      </c>
      <c r="V46" s="10" t="str">
        <f aca="false">IF($B46="","",COUNTIFS($C$5:$C$204,$C46,$P$5:$P$204,$P46,$U$5:$U$204,"&gt;"&amp;$U46)+1)</f>
        <v/>
      </c>
      <c r="W46" s="10" t="str">
        <f aca="false">IF($B46="","",COUNTIFS($C$5:$C$204,$C46,$P$5:$P$204,$P46))</f>
        <v/>
      </c>
      <c r="X46" s="15" t="str">
        <f aca="false">IF($B46="","",$V46/$W46)</f>
        <v/>
      </c>
      <c r="Y46" s="10" t="str">
        <f aca="false">IF($B46="","",IF(AND($M46="Có",$J46&lt;=Nguong!$B$16,$K46&lt;=Nguong!$B$17,$L46&lt;=Nguong!$B$18,$R46&lt;=INDEX(Nguong!$B$4:$B$8,$D46)),"Đạt","Không đạt"))</f>
        <v/>
      </c>
      <c r="Z46" s="16" t="str">
        <f aca="false">IF($B46="","",IF($D46&gt;=5,"-",INDEX(IF($C46="Supporter",Nguong!$E$4:$E$8,Nguong!$C$4:$C$8),$D46+1)))</f>
        <v/>
      </c>
      <c r="AA46" s="16" t="str">
        <f aca="false">IF($B46="","",INDEX(IF($C46="Supporter",Nguong!$F$4:$F$8,Nguong!$D$4:$D$8),$D46))</f>
        <v/>
      </c>
      <c r="AB46" s="17" t="str">
        <f aca="false">IF($B46="","",IF($Y46="Không đạt",IF($D46=1,"Không đạt ĐK cần – SM/GĐKV xem xét","Xuống Level "&amp;($D46-1)&amp;" (không đạt ĐK cần)"),IF(AND($D46&lt;5,$Z46&lt;&gt;"-",$X46&lt;=$Z46,$N46="Có",$O46="Có"),"Lên Level "&amp;($D46+1),IF($X46&lt;=$AA46,"Giữ Level "&amp;$D46,"Xuống Level "&amp;($D46-1)&amp;" (ngoài ngưỡng giữ)"))))</f>
        <v/>
      </c>
    </row>
    <row r="47" customFormat="false" ht="15" hidden="false" customHeight="false" outlineLevel="0" collapsed="false">
      <c r="A47" s="7"/>
      <c r="B47" s="7"/>
      <c r="C47" s="8"/>
      <c r="D47" s="8"/>
      <c r="E47" s="8"/>
      <c r="F47" s="9"/>
      <c r="G47" s="9"/>
      <c r="H47" s="9"/>
      <c r="I47" s="9"/>
      <c r="J47" s="9"/>
      <c r="K47" s="9"/>
      <c r="L47" s="9"/>
      <c r="M47" s="8"/>
      <c r="N47" s="8"/>
      <c r="O47" s="8"/>
      <c r="P47" s="10" t="str">
        <f aca="false">IF($B47="","",IF(AND($C47="Supporter",$E47=4),3,$E47))</f>
        <v/>
      </c>
      <c r="Q47" s="11" t="str">
        <f aca="false">IF($B47="","",IF($G47&gt;0,$H47/$G47,0))</f>
        <v/>
      </c>
      <c r="R47" s="12" t="str">
        <f aca="false">IF($B47="","",IF($G47&gt;0,$I47/$G47,0))</f>
        <v/>
      </c>
      <c r="S47" s="13" t="str">
        <f aca="false">IF($B47="","",IF($W47&lt;=1,100,COUNTIFS($C$5:$C$204,$C47,$P$5:$P$204,$P47,$F$5:$F$204,"&lt;"&amp;$F47)/($W47-1)*100))</f>
        <v/>
      </c>
      <c r="T47" s="13" t="str">
        <f aca="false">IF($B47="","",IF($C47="Supporter","-",IF($W47&lt;=1,100,COUNTIFS($C$5:$C$204,$C47,$P$5:$P$204,$P47,$Q$5:$Q$204,"&lt;"&amp;$Q47)/($W47-1)*100)))</f>
        <v/>
      </c>
      <c r="U47" s="14" t="str">
        <f aca="false">IF($B47="","",IF($C47="Supporter",$S47,0.85*$S47+0.15*$T47))</f>
        <v/>
      </c>
      <c r="V47" s="10" t="str">
        <f aca="false">IF($B47="","",COUNTIFS($C$5:$C$204,$C47,$P$5:$P$204,$P47,$U$5:$U$204,"&gt;"&amp;$U47)+1)</f>
        <v/>
      </c>
      <c r="W47" s="10" t="str">
        <f aca="false">IF($B47="","",COUNTIFS($C$5:$C$204,$C47,$P$5:$P$204,$P47))</f>
        <v/>
      </c>
      <c r="X47" s="15" t="str">
        <f aca="false">IF($B47="","",$V47/$W47)</f>
        <v/>
      </c>
      <c r="Y47" s="10" t="str">
        <f aca="false">IF($B47="","",IF(AND($M47="Có",$J47&lt;=Nguong!$B$16,$K47&lt;=Nguong!$B$17,$L47&lt;=Nguong!$B$18,$R47&lt;=INDEX(Nguong!$B$4:$B$8,$D47)),"Đạt","Không đạt"))</f>
        <v/>
      </c>
      <c r="Z47" s="16" t="str">
        <f aca="false">IF($B47="","",IF($D47&gt;=5,"-",INDEX(IF($C47="Supporter",Nguong!$E$4:$E$8,Nguong!$C$4:$C$8),$D47+1)))</f>
        <v/>
      </c>
      <c r="AA47" s="16" t="str">
        <f aca="false">IF($B47="","",INDEX(IF($C47="Supporter",Nguong!$F$4:$F$8,Nguong!$D$4:$D$8),$D47))</f>
        <v/>
      </c>
      <c r="AB47" s="17" t="str">
        <f aca="false">IF($B47="","",IF($Y47="Không đạt",IF($D47=1,"Không đạt ĐK cần – SM/GĐKV xem xét","Xuống Level "&amp;($D47-1)&amp;" (không đạt ĐK cần)"),IF(AND($D47&lt;5,$Z47&lt;&gt;"-",$X47&lt;=$Z47,$N47="Có",$O47="Có"),"Lên Level "&amp;($D47+1),IF($X47&lt;=$AA47,"Giữ Level "&amp;$D47,"Xuống Level "&amp;($D47-1)&amp;" (ngoài ngưỡng giữ)"))))</f>
        <v/>
      </c>
    </row>
    <row r="48" customFormat="false" ht="15" hidden="false" customHeight="false" outlineLevel="0" collapsed="false">
      <c r="A48" s="7"/>
      <c r="B48" s="7"/>
      <c r="C48" s="8"/>
      <c r="D48" s="8"/>
      <c r="E48" s="8"/>
      <c r="F48" s="9"/>
      <c r="G48" s="9"/>
      <c r="H48" s="9"/>
      <c r="I48" s="9"/>
      <c r="J48" s="9"/>
      <c r="K48" s="9"/>
      <c r="L48" s="9"/>
      <c r="M48" s="8"/>
      <c r="N48" s="8"/>
      <c r="O48" s="8"/>
      <c r="P48" s="10" t="str">
        <f aca="false">IF($B48="","",IF(AND($C48="Supporter",$E48=4),3,$E48))</f>
        <v/>
      </c>
      <c r="Q48" s="11" t="str">
        <f aca="false">IF($B48="","",IF($G48&gt;0,$H48/$G48,0))</f>
        <v/>
      </c>
      <c r="R48" s="12" t="str">
        <f aca="false">IF($B48="","",IF($G48&gt;0,$I48/$G48,0))</f>
        <v/>
      </c>
      <c r="S48" s="13" t="str">
        <f aca="false">IF($B48="","",IF($W48&lt;=1,100,COUNTIFS($C$5:$C$204,$C48,$P$5:$P$204,$P48,$F$5:$F$204,"&lt;"&amp;$F48)/($W48-1)*100))</f>
        <v/>
      </c>
      <c r="T48" s="13" t="str">
        <f aca="false">IF($B48="","",IF($C48="Supporter","-",IF($W48&lt;=1,100,COUNTIFS($C$5:$C$204,$C48,$P$5:$P$204,$P48,$Q$5:$Q$204,"&lt;"&amp;$Q48)/($W48-1)*100)))</f>
        <v/>
      </c>
      <c r="U48" s="14" t="str">
        <f aca="false">IF($B48="","",IF($C48="Supporter",$S48,0.85*$S48+0.15*$T48))</f>
        <v/>
      </c>
      <c r="V48" s="10" t="str">
        <f aca="false">IF($B48="","",COUNTIFS($C$5:$C$204,$C48,$P$5:$P$204,$P48,$U$5:$U$204,"&gt;"&amp;$U48)+1)</f>
        <v/>
      </c>
      <c r="W48" s="10" t="str">
        <f aca="false">IF($B48="","",COUNTIFS($C$5:$C$204,$C48,$P$5:$P$204,$P48))</f>
        <v/>
      </c>
      <c r="X48" s="15" t="str">
        <f aca="false">IF($B48="","",$V48/$W48)</f>
        <v/>
      </c>
      <c r="Y48" s="10" t="str">
        <f aca="false">IF($B48="","",IF(AND($M48="Có",$J48&lt;=Nguong!$B$16,$K48&lt;=Nguong!$B$17,$L48&lt;=Nguong!$B$18,$R48&lt;=INDEX(Nguong!$B$4:$B$8,$D48)),"Đạt","Không đạt"))</f>
        <v/>
      </c>
      <c r="Z48" s="16" t="str">
        <f aca="false">IF($B48="","",IF($D48&gt;=5,"-",INDEX(IF($C48="Supporter",Nguong!$E$4:$E$8,Nguong!$C$4:$C$8),$D48+1)))</f>
        <v/>
      </c>
      <c r="AA48" s="16" t="str">
        <f aca="false">IF($B48="","",INDEX(IF($C48="Supporter",Nguong!$F$4:$F$8,Nguong!$D$4:$D$8),$D48))</f>
        <v/>
      </c>
      <c r="AB48" s="17" t="str">
        <f aca="false">IF($B48="","",IF($Y48="Không đạt",IF($D48=1,"Không đạt ĐK cần – SM/GĐKV xem xét","Xuống Level "&amp;($D48-1)&amp;" (không đạt ĐK cần)"),IF(AND($D48&lt;5,$Z48&lt;&gt;"-",$X48&lt;=$Z48,$N48="Có",$O48="Có"),"Lên Level "&amp;($D48+1),IF($X48&lt;=$AA48,"Giữ Level "&amp;$D48,"Xuống Level "&amp;($D48-1)&amp;" (ngoài ngưỡng giữ)"))))</f>
        <v/>
      </c>
    </row>
    <row r="49" customFormat="false" ht="15" hidden="false" customHeight="false" outlineLevel="0" collapsed="false">
      <c r="A49" s="7"/>
      <c r="B49" s="7"/>
      <c r="C49" s="8"/>
      <c r="D49" s="8"/>
      <c r="E49" s="8"/>
      <c r="F49" s="9"/>
      <c r="G49" s="9"/>
      <c r="H49" s="9"/>
      <c r="I49" s="9"/>
      <c r="J49" s="9"/>
      <c r="K49" s="9"/>
      <c r="L49" s="9"/>
      <c r="M49" s="8"/>
      <c r="N49" s="8"/>
      <c r="O49" s="8"/>
      <c r="P49" s="10" t="str">
        <f aca="false">IF($B49="","",IF(AND($C49="Supporter",$E49=4),3,$E49))</f>
        <v/>
      </c>
      <c r="Q49" s="11" t="str">
        <f aca="false">IF($B49="","",IF($G49&gt;0,$H49/$G49,0))</f>
        <v/>
      </c>
      <c r="R49" s="12" t="str">
        <f aca="false">IF($B49="","",IF($G49&gt;0,$I49/$G49,0))</f>
        <v/>
      </c>
      <c r="S49" s="13" t="str">
        <f aca="false">IF($B49="","",IF($W49&lt;=1,100,COUNTIFS($C$5:$C$204,$C49,$P$5:$P$204,$P49,$F$5:$F$204,"&lt;"&amp;$F49)/($W49-1)*100))</f>
        <v/>
      </c>
      <c r="T49" s="13" t="str">
        <f aca="false">IF($B49="","",IF($C49="Supporter","-",IF($W49&lt;=1,100,COUNTIFS($C$5:$C$204,$C49,$P$5:$P$204,$P49,$Q$5:$Q$204,"&lt;"&amp;$Q49)/($W49-1)*100)))</f>
        <v/>
      </c>
      <c r="U49" s="14" t="str">
        <f aca="false">IF($B49="","",IF($C49="Supporter",$S49,0.85*$S49+0.15*$T49))</f>
        <v/>
      </c>
      <c r="V49" s="10" t="str">
        <f aca="false">IF($B49="","",COUNTIFS($C$5:$C$204,$C49,$P$5:$P$204,$P49,$U$5:$U$204,"&gt;"&amp;$U49)+1)</f>
        <v/>
      </c>
      <c r="W49" s="10" t="str">
        <f aca="false">IF($B49="","",COUNTIFS($C$5:$C$204,$C49,$P$5:$P$204,$P49))</f>
        <v/>
      </c>
      <c r="X49" s="15" t="str">
        <f aca="false">IF($B49="","",$V49/$W49)</f>
        <v/>
      </c>
      <c r="Y49" s="10" t="str">
        <f aca="false">IF($B49="","",IF(AND($M49="Có",$J49&lt;=Nguong!$B$16,$K49&lt;=Nguong!$B$17,$L49&lt;=Nguong!$B$18,$R49&lt;=INDEX(Nguong!$B$4:$B$8,$D49)),"Đạt","Không đạt"))</f>
        <v/>
      </c>
      <c r="Z49" s="16" t="str">
        <f aca="false">IF($B49="","",IF($D49&gt;=5,"-",INDEX(IF($C49="Supporter",Nguong!$E$4:$E$8,Nguong!$C$4:$C$8),$D49+1)))</f>
        <v/>
      </c>
      <c r="AA49" s="16" t="str">
        <f aca="false">IF($B49="","",INDEX(IF($C49="Supporter",Nguong!$F$4:$F$8,Nguong!$D$4:$D$8),$D49))</f>
        <v/>
      </c>
      <c r="AB49" s="17" t="str">
        <f aca="false">IF($B49="","",IF($Y49="Không đạt",IF($D49=1,"Không đạt ĐK cần – SM/GĐKV xem xét","Xuống Level "&amp;($D49-1)&amp;" (không đạt ĐK cần)"),IF(AND($D49&lt;5,$Z49&lt;&gt;"-",$X49&lt;=$Z49,$N49="Có",$O49="Có"),"Lên Level "&amp;($D49+1),IF($X49&lt;=$AA49,"Giữ Level "&amp;$D49,"Xuống Level "&amp;($D49-1)&amp;" (ngoài ngưỡng giữ)"))))</f>
        <v/>
      </c>
    </row>
    <row r="50" customFormat="false" ht="15" hidden="false" customHeight="false" outlineLevel="0" collapsed="false">
      <c r="A50" s="7"/>
      <c r="B50" s="7"/>
      <c r="C50" s="8"/>
      <c r="D50" s="8"/>
      <c r="E50" s="8"/>
      <c r="F50" s="9"/>
      <c r="G50" s="9"/>
      <c r="H50" s="9"/>
      <c r="I50" s="9"/>
      <c r="J50" s="9"/>
      <c r="K50" s="9"/>
      <c r="L50" s="9"/>
      <c r="M50" s="8"/>
      <c r="N50" s="8"/>
      <c r="O50" s="8"/>
      <c r="P50" s="10" t="str">
        <f aca="false">IF($B50="","",IF(AND($C50="Supporter",$E50=4),3,$E50))</f>
        <v/>
      </c>
      <c r="Q50" s="11" t="str">
        <f aca="false">IF($B50="","",IF($G50&gt;0,$H50/$G50,0))</f>
        <v/>
      </c>
      <c r="R50" s="12" t="str">
        <f aca="false">IF($B50="","",IF($G50&gt;0,$I50/$G50,0))</f>
        <v/>
      </c>
      <c r="S50" s="13" t="str">
        <f aca="false">IF($B50="","",IF($W50&lt;=1,100,COUNTIFS($C$5:$C$204,$C50,$P$5:$P$204,$P50,$F$5:$F$204,"&lt;"&amp;$F50)/($W50-1)*100))</f>
        <v/>
      </c>
      <c r="T50" s="13" t="str">
        <f aca="false">IF($B50="","",IF($C50="Supporter","-",IF($W50&lt;=1,100,COUNTIFS($C$5:$C$204,$C50,$P$5:$P$204,$P50,$Q$5:$Q$204,"&lt;"&amp;$Q50)/($W50-1)*100)))</f>
        <v/>
      </c>
      <c r="U50" s="14" t="str">
        <f aca="false">IF($B50="","",IF($C50="Supporter",$S50,0.85*$S50+0.15*$T50))</f>
        <v/>
      </c>
      <c r="V50" s="10" t="str">
        <f aca="false">IF($B50="","",COUNTIFS($C$5:$C$204,$C50,$P$5:$P$204,$P50,$U$5:$U$204,"&gt;"&amp;$U50)+1)</f>
        <v/>
      </c>
      <c r="W50" s="10" t="str">
        <f aca="false">IF($B50="","",COUNTIFS($C$5:$C$204,$C50,$P$5:$P$204,$P50))</f>
        <v/>
      </c>
      <c r="X50" s="15" t="str">
        <f aca="false">IF($B50="","",$V50/$W50)</f>
        <v/>
      </c>
      <c r="Y50" s="10" t="str">
        <f aca="false">IF($B50="","",IF(AND($M50="Có",$J50&lt;=Nguong!$B$16,$K50&lt;=Nguong!$B$17,$L50&lt;=Nguong!$B$18,$R50&lt;=INDEX(Nguong!$B$4:$B$8,$D50)),"Đạt","Không đạt"))</f>
        <v/>
      </c>
      <c r="Z50" s="16" t="str">
        <f aca="false">IF($B50="","",IF($D50&gt;=5,"-",INDEX(IF($C50="Supporter",Nguong!$E$4:$E$8,Nguong!$C$4:$C$8),$D50+1)))</f>
        <v/>
      </c>
      <c r="AA50" s="16" t="str">
        <f aca="false">IF($B50="","",INDEX(IF($C50="Supporter",Nguong!$F$4:$F$8,Nguong!$D$4:$D$8),$D50))</f>
        <v/>
      </c>
      <c r="AB50" s="17" t="str">
        <f aca="false">IF($B50="","",IF($Y50="Không đạt",IF($D50=1,"Không đạt ĐK cần – SM/GĐKV xem xét","Xuống Level "&amp;($D50-1)&amp;" (không đạt ĐK cần)"),IF(AND($D50&lt;5,$Z50&lt;&gt;"-",$X50&lt;=$Z50,$N50="Có",$O50="Có"),"Lên Level "&amp;($D50+1),IF($X50&lt;=$AA50,"Giữ Level "&amp;$D50,"Xuống Level "&amp;($D50-1)&amp;" (ngoài ngưỡng giữ)"))))</f>
        <v/>
      </c>
    </row>
    <row r="51" customFormat="false" ht="15" hidden="false" customHeight="false" outlineLevel="0" collapsed="false">
      <c r="A51" s="7"/>
      <c r="B51" s="7"/>
      <c r="C51" s="8"/>
      <c r="D51" s="8"/>
      <c r="E51" s="8"/>
      <c r="F51" s="9"/>
      <c r="G51" s="9"/>
      <c r="H51" s="9"/>
      <c r="I51" s="9"/>
      <c r="J51" s="9"/>
      <c r="K51" s="9"/>
      <c r="L51" s="9"/>
      <c r="M51" s="8"/>
      <c r="N51" s="8"/>
      <c r="O51" s="8"/>
      <c r="P51" s="10" t="str">
        <f aca="false">IF($B51="","",IF(AND($C51="Supporter",$E51=4),3,$E51))</f>
        <v/>
      </c>
      <c r="Q51" s="11" t="str">
        <f aca="false">IF($B51="","",IF($G51&gt;0,$H51/$G51,0))</f>
        <v/>
      </c>
      <c r="R51" s="12" t="str">
        <f aca="false">IF($B51="","",IF($G51&gt;0,$I51/$G51,0))</f>
        <v/>
      </c>
      <c r="S51" s="13" t="str">
        <f aca="false">IF($B51="","",IF($W51&lt;=1,100,COUNTIFS($C$5:$C$204,$C51,$P$5:$P$204,$P51,$F$5:$F$204,"&lt;"&amp;$F51)/($W51-1)*100))</f>
        <v/>
      </c>
      <c r="T51" s="13" t="str">
        <f aca="false">IF($B51="","",IF($C51="Supporter","-",IF($W51&lt;=1,100,COUNTIFS($C$5:$C$204,$C51,$P$5:$P$204,$P51,$Q$5:$Q$204,"&lt;"&amp;$Q51)/($W51-1)*100)))</f>
        <v/>
      </c>
      <c r="U51" s="14" t="str">
        <f aca="false">IF($B51="","",IF($C51="Supporter",$S51,0.85*$S51+0.15*$T51))</f>
        <v/>
      </c>
      <c r="V51" s="10" t="str">
        <f aca="false">IF($B51="","",COUNTIFS($C$5:$C$204,$C51,$P$5:$P$204,$P51,$U$5:$U$204,"&gt;"&amp;$U51)+1)</f>
        <v/>
      </c>
      <c r="W51" s="10" t="str">
        <f aca="false">IF($B51="","",COUNTIFS($C$5:$C$204,$C51,$P$5:$P$204,$P51))</f>
        <v/>
      </c>
      <c r="X51" s="15" t="str">
        <f aca="false">IF($B51="","",$V51/$W51)</f>
        <v/>
      </c>
      <c r="Y51" s="10" t="str">
        <f aca="false">IF($B51="","",IF(AND($M51="Có",$J51&lt;=Nguong!$B$16,$K51&lt;=Nguong!$B$17,$L51&lt;=Nguong!$B$18,$R51&lt;=INDEX(Nguong!$B$4:$B$8,$D51)),"Đạt","Không đạt"))</f>
        <v/>
      </c>
      <c r="Z51" s="16" t="str">
        <f aca="false">IF($B51="","",IF($D51&gt;=5,"-",INDEX(IF($C51="Supporter",Nguong!$E$4:$E$8,Nguong!$C$4:$C$8),$D51+1)))</f>
        <v/>
      </c>
      <c r="AA51" s="16" t="str">
        <f aca="false">IF($B51="","",INDEX(IF($C51="Supporter",Nguong!$F$4:$F$8,Nguong!$D$4:$D$8),$D51))</f>
        <v/>
      </c>
      <c r="AB51" s="17" t="str">
        <f aca="false">IF($B51="","",IF($Y51="Không đạt",IF($D51=1,"Không đạt ĐK cần – SM/GĐKV xem xét","Xuống Level "&amp;($D51-1)&amp;" (không đạt ĐK cần)"),IF(AND($D51&lt;5,$Z51&lt;&gt;"-",$X51&lt;=$Z51,$N51="Có",$O51="Có"),"Lên Level "&amp;($D51+1),IF($X51&lt;=$AA51,"Giữ Level "&amp;$D51,"Xuống Level "&amp;($D51-1)&amp;" (ngoài ngưỡng giữ)"))))</f>
        <v/>
      </c>
    </row>
    <row r="52" customFormat="false" ht="15" hidden="false" customHeight="false" outlineLevel="0" collapsed="false">
      <c r="A52" s="7"/>
      <c r="B52" s="7"/>
      <c r="C52" s="8"/>
      <c r="D52" s="8"/>
      <c r="E52" s="8"/>
      <c r="F52" s="9"/>
      <c r="G52" s="9"/>
      <c r="H52" s="9"/>
      <c r="I52" s="9"/>
      <c r="J52" s="9"/>
      <c r="K52" s="9"/>
      <c r="L52" s="9"/>
      <c r="M52" s="8"/>
      <c r="N52" s="8"/>
      <c r="O52" s="8"/>
      <c r="P52" s="10" t="str">
        <f aca="false">IF($B52="","",IF(AND($C52="Supporter",$E52=4),3,$E52))</f>
        <v/>
      </c>
      <c r="Q52" s="11" t="str">
        <f aca="false">IF($B52="","",IF($G52&gt;0,$H52/$G52,0))</f>
        <v/>
      </c>
      <c r="R52" s="12" t="str">
        <f aca="false">IF($B52="","",IF($G52&gt;0,$I52/$G52,0))</f>
        <v/>
      </c>
      <c r="S52" s="13" t="str">
        <f aca="false">IF($B52="","",IF($W52&lt;=1,100,COUNTIFS($C$5:$C$204,$C52,$P$5:$P$204,$P52,$F$5:$F$204,"&lt;"&amp;$F52)/($W52-1)*100))</f>
        <v/>
      </c>
      <c r="T52" s="13" t="str">
        <f aca="false">IF($B52="","",IF($C52="Supporter","-",IF($W52&lt;=1,100,COUNTIFS($C$5:$C$204,$C52,$P$5:$P$204,$P52,$Q$5:$Q$204,"&lt;"&amp;$Q52)/($W52-1)*100)))</f>
        <v/>
      </c>
      <c r="U52" s="14" t="str">
        <f aca="false">IF($B52="","",IF($C52="Supporter",$S52,0.85*$S52+0.15*$T52))</f>
        <v/>
      </c>
      <c r="V52" s="10" t="str">
        <f aca="false">IF($B52="","",COUNTIFS($C$5:$C$204,$C52,$P$5:$P$204,$P52,$U$5:$U$204,"&gt;"&amp;$U52)+1)</f>
        <v/>
      </c>
      <c r="W52" s="10" t="str">
        <f aca="false">IF($B52="","",COUNTIFS($C$5:$C$204,$C52,$P$5:$P$204,$P52))</f>
        <v/>
      </c>
      <c r="X52" s="15" t="str">
        <f aca="false">IF($B52="","",$V52/$W52)</f>
        <v/>
      </c>
      <c r="Y52" s="10" t="str">
        <f aca="false">IF($B52="","",IF(AND($M52="Có",$J52&lt;=Nguong!$B$16,$K52&lt;=Nguong!$B$17,$L52&lt;=Nguong!$B$18,$R52&lt;=INDEX(Nguong!$B$4:$B$8,$D52)),"Đạt","Không đạt"))</f>
        <v/>
      </c>
      <c r="Z52" s="16" t="str">
        <f aca="false">IF($B52="","",IF($D52&gt;=5,"-",INDEX(IF($C52="Supporter",Nguong!$E$4:$E$8,Nguong!$C$4:$C$8),$D52+1)))</f>
        <v/>
      </c>
      <c r="AA52" s="16" t="str">
        <f aca="false">IF($B52="","",INDEX(IF($C52="Supporter",Nguong!$F$4:$F$8,Nguong!$D$4:$D$8),$D52))</f>
        <v/>
      </c>
      <c r="AB52" s="17" t="str">
        <f aca="false">IF($B52="","",IF($Y52="Không đạt",IF($D52=1,"Không đạt ĐK cần – SM/GĐKV xem xét","Xuống Level "&amp;($D52-1)&amp;" (không đạt ĐK cần)"),IF(AND($D52&lt;5,$Z52&lt;&gt;"-",$X52&lt;=$Z52,$N52="Có",$O52="Có"),"Lên Level "&amp;($D52+1),IF($X52&lt;=$AA52,"Giữ Level "&amp;$D52,"Xuống Level "&amp;($D52-1)&amp;" (ngoài ngưỡng giữ)"))))</f>
        <v/>
      </c>
    </row>
    <row r="53" customFormat="false" ht="15" hidden="false" customHeight="false" outlineLevel="0" collapsed="false">
      <c r="A53" s="7"/>
      <c r="B53" s="7"/>
      <c r="C53" s="8"/>
      <c r="D53" s="8"/>
      <c r="E53" s="8"/>
      <c r="F53" s="9"/>
      <c r="G53" s="9"/>
      <c r="H53" s="9"/>
      <c r="I53" s="9"/>
      <c r="J53" s="9"/>
      <c r="K53" s="9"/>
      <c r="L53" s="9"/>
      <c r="M53" s="8"/>
      <c r="N53" s="8"/>
      <c r="O53" s="8"/>
      <c r="P53" s="10" t="str">
        <f aca="false">IF($B53="","",IF(AND($C53="Supporter",$E53=4),3,$E53))</f>
        <v/>
      </c>
      <c r="Q53" s="11" t="str">
        <f aca="false">IF($B53="","",IF($G53&gt;0,$H53/$G53,0))</f>
        <v/>
      </c>
      <c r="R53" s="12" t="str">
        <f aca="false">IF($B53="","",IF($G53&gt;0,$I53/$G53,0))</f>
        <v/>
      </c>
      <c r="S53" s="13" t="str">
        <f aca="false">IF($B53="","",IF($W53&lt;=1,100,COUNTIFS($C$5:$C$204,$C53,$P$5:$P$204,$P53,$F$5:$F$204,"&lt;"&amp;$F53)/($W53-1)*100))</f>
        <v/>
      </c>
      <c r="T53" s="13" t="str">
        <f aca="false">IF($B53="","",IF($C53="Supporter","-",IF($W53&lt;=1,100,COUNTIFS($C$5:$C$204,$C53,$P$5:$P$204,$P53,$Q$5:$Q$204,"&lt;"&amp;$Q53)/($W53-1)*100)))</f>
        <v/>
      </c>
      <c r="U53" s="14" t="str">
        <f aca="false">IF($B53="","",IF($C53="Supporter",$S53,0.85*$S53+0.15*$T53))</f>
        <v/>
      </c>
      <c r="V53" s="10" t="str">
        <f aca="false">IF($B53="","",COUNTIFS($C$5:$C$204,$C53,$P$5:$P$204,$P53,$U$5:$U$204,"&gt;"&amp;$U53)+1)</f>
        <v/>
      </c>
      <c r="W53" s="10" t="str">
        <f aca="false">IF($B53="","",COUNTIFS($C$5:$C$204,$C53,$P$5:$P$204,$P53))</f>
        <v/>
      </c>
      <c r="X53" s="15" t="str">
        <f aca="false">IF($B53="","",$V53/$W53)</f>
        <v/>
      </c>
      <c r="Y53" s="10" t="str">
        <f aca="false">IF($B53="","",IF(AND($M53="Có",$J53&lt;=Nguong!$B$16,$K53&lt;=Nguong!$B$17,$L53&lt;=Nguong!$B$18,$R53&lt;=INDEX(Nguong!$B$4:$B$8,$D53)),"Đạt","Không đạt"))</f>
        <v/>
      </c>
      <c r="Z53" s="16" t="str">
        <f aca="false">IF($B53="","",IF($D53&gt;=5,"-",INDEX(IF($C53="Supporter",Nguong!$E$4:$E$8,Nguong!$C$4:$C$8),$D53+1)))</f>
        <v/>
      </c>
      <c r="AA53" s="16" t="str">
        <f aca="false">IF($B53="","",INDEX(IF($C53="Supporter",Nguong!$F$4:$F$8,Nguong!$D$4:$D$8),$D53))</f>
        <v/>
      </c>
      <c r="AB53" s="17" t="str">
        <f aca="false">IF($B53="","",IF($Y53="Không đạt",IF($D53=1,"Không đạt ĐK cần – SM/GĐKV xem xét","Xuống Level "&amp;($D53-1)&amp;" (không đạt ĐK cần)"),IF(AND($D53&lt;5,$Z53&lt;&gt;"-",$X53&lt;=$Z53,$N53="Có",$O53="Có"),"Lên Level "&amp;($D53+1),IF($X53&lt;=$AA53,"Giữ Level "&amp;$D53,"Xuống Level "&amp;($D53-1)&amp;" (ngoài ngưỡng giữ)"))))</f>
        <v/>
      </c>
    </row>
    <row r="54" customFormat="false" ht="15" hidden="false" customHeight="false" outlineLevel="0" collapsed="false">
      <c r="A54" s="7"/>
      <c r="B54" s="7"/>
      <c r="C54" s="8"/>
      <c r="D54" s="8"/>
      <c r="E54" s="8"/>
      <c r="F54" s="9"/>
      <c r="G54" s="9"/>
      <c r="H54" s="9"/>
      <c r="I54" s="9"/>
      <c r="J54" s="9"/>
      <c r="K54" s="9"/>
      <c r="L54" s="9"/>
      <c r="M54" s="8"/>
      <c r="N54" s="8"/>
      <c r="O54" s="8"/>
      <c r="P54" s="10" t="str">
        <f aca="false">IF($B54="","",IF(AND($C54="Supporter",$E54=4),3,$E54))</f>
        <v/>
      </c>
      <c r="Q54" s="11" t="str">
        <f aca="false">IF($B54="","",IF($G54&gt;0,$H54/$G54,0))</f>
        <v/>
      </c>
      <c r="R54" s="12" t="str">
        <f aca="false">IF($B54="","",IF($G54&gt;0,$I54/$G54,0))</f>
        <v/>
      </c>
      <c r="S54" s="13" t="str">
        <f aca="false">IF($B54="","",IF($W54&lt;=1,100,COUNTIFS($C$5:$C$204,$C54,$P$5:$P$204,$P54,$F$5:$F$204,"&lt;"&amp;$F54)/($W54-1)*100))</f>
        <v/>
      </c>
      <c r="T54" s="13" t="str">
        <f aca="false">IF($B54="","",IF($C54="Supporter","-",IF($W54&lt;=1,100,COUNTIFS($C$5:$C$204,$C54,$P$5:$P$204,$P54,$Q$5:$Q$204,"&lt;"&amp;$Q54)/($W54-1)*100)))</f>
        <v/>
      </c>
      <c r="U54" s="14" t="str">
        <f aca="false">IF($B54="","",IF($C54="Supporter",$S54,0.85*$S54+0.15*$T54))</f>
        <v/>
      </c>
      <c r="V54" s="10" t="str">
        <f aca="false">IF($B54="","",COUNTIFS($C$5:$C$204,$C54,$P$5:$P$204,$P54,$U$5:$U$204,"&gt;"&amp;$U54)+1)</f>
        <v/>
      </c>
      <c r="W54" s="10" t="str">
        <f aca="false">IF($B54="","",COUNTIFS($C$5:$C$204,$C54,$P$5:$P$204,$P54))</f>
        <v/>
      </c>
      <c r="X54" s="15" t="str">
        <f aca="false">IF($B54="","",$V54/$W54)</f>
        <v/>
      </c>
      <c r="Y54" s="10" t="str">
        <f aca="false">IF($B54="","",IF(AND($M54="Có",$J54&lt;=Nguong!$B$16,$K54&lt;=Nguong!$B$17,$L54&lt;=Nguong!$B$18,$R54&lt;=INDEX(Nguong!$B$4:$B$8,$D54)),"Đạt","Không đạt"))</f>
        <v/>
      </c>
      <c r="Z54" s="16" t="str">
        <f aca="false">IF($B54="","",IF($D54&gt;=5,"-",INDEX(IF($C54="Supporter",Nguong!$E$4:$E$8,Nguong!$C$4:$C$8),$D54+1)))</f>
        <v/>
      </c>
      <c r="AA54" s="16" t="str">
        <f aca="false">IF($B54="","",INDEX(IF($C54="Supporter",Nguong!$F$4:$F$8,Nguong!$D$4:$D$8),$D54))</f>
        <v/>
      </c>
      <c r="AB54" s="17" t="str">
        <f aca="false">IF($B54="","",IF($Y54="Không đạt",IF($D54=1,"Không đạt ĐK cần – SM/GĐKV xem xét","Xuống Level "&amp;($D54-1)&amp;" (không đạt ĐK cần)"),IF(AND($D54&lt;5,$Z54&lt;&gt;"-",$X54&lt;=$Z54,$N54="Có",$O54="Có"),"Lên Level "&amp;($D54+1),IF($X54&lt;=$AA54,"Giữ Level "&amp;$D54,"Xuống Level "&amp;($D54-1)&amp;" (ngoài ngưỡng giữ)"))))</f>
        <v/>
      </c>
    </row>
    <row r="55" customFormat="false" ht="15" hidden="false" customHeight="false" outlineLevel="0" collapsed="false">
      <c r="A55" s="7"/>
      <c r="B55" s="7"/>
      <c r="C55" s="8"/>
      <c r="D55" s="8"/>
      <c r="E55" s="8"/>
      <c r="F55" s="9"/>
      <c r="G55" s="9"/>
      <c r="H55" s="9"/>
      <c r="I55" s="9"/>
      <c r="J55" s="9"/>
      <c r="K55" s="9"/>
      <c r="L55" s="9"/>
      <c r="M55" s="8"/>
      <c r="N55" s="8"/>
      <c r="O55" s="8"/>
      <c r="P55" s="10" t="str">
        <f aca="false">IF($B55="","",IF(AND($C55="Supporter",$E55=4),3,$E55))</f>
        <v/>
      </c>
      <c r="Q55" s="11" t="str">
        <f aca="false">IF($B55="","",IF($G55&gt;0,$H55/$G55,0))</f>
        <v/>
      </c>
      <c r="R55" s="12" t="str">
        <f aca="false">IF($B55="","",IF($G55&gt;0,$I55/$G55,0))</f>
        <v/>
      </c>
      <c r="S55" s="13" t="str">
        <f aca="false">IF($B55="","",IF($W55&lt;=1,100,COUNTIFS($C$5:$C$204,$C55,$P$5:$P$204,$P55,$F$5:$F$204,"&lt;"&amp;$F55)/($W55-1)*100))</f>
        <v/>
      </c>
      <c r="T55" s="13" t="str">
        <f aca="false">IF($B55="","",IF($C55="Supporter","-",IF($W55&lt;=1,100,COUNTIFS($C$5:$C$204,$C55,$P$5:$P$204,$P55,$Q$5:$Q$204,"&lt;"&amp;$Q55)/($W55-1)*100)))</f>
        <v/>
      </c>
      <c r="U55" s="14" t="str">
        <f aca="false">IF($B55="","",IF($C55="Supporter",$S55,0.85*$S55+0.15*$T55))</f>
        <v/>
      </c>
      <c r="V55" s="10" t="str">
        <f aca="false">IF($B55="","",COUNTIFS($C$5:$C$204,$C55,$P$5:$P$204,$P55,$U$5:$U$204,"&gt;"&amp;$U55)+1)</f>
        <v/>
      </c>
      <c r="W55" s="10" t="str">
        <f aca="false">IF($B55="","",COUNTIFS($C$5:$C$204,$C55,$P$5:$P$204,$P55))</f>
        <v/>
      </c>
      <c r="X55" s="15" t="str">
        <f aca="false">IF($B55="","",$V55/$W55)</f>
        <v/>
      </c>
      <c r="Y55" s="10" t="str">
        <f aca="false">IF($B55="","",IF(AND($M55="Có",$J55&lt;=Nguong!$B$16,$K55&lt;=Nguong!$B$17,$L55&lt;=Nguong!$B$18,$R55&lt;=INDEX(Nguong!$B$4:$B$8,$D55)),"Đạt","Không đạt"))</f>
        <v/>
      </c>
      <c r="Z55" s="16" t="str">
        <f aca="false">IF($B55="","",IF($D55&gt;=5,"-",INDEX(IF($C55="Supporter",Nguong!$E$4:$E$8,Nguong!$C$4:$C$8),$D55+1)))</f>
        <v/>
      </c>
      <c r="AA55" s="16" t="str">
        <f aca="false">IF($B55="","",INDEX(IF($C55="Supporter",Nguong!$F$4:$F$8,Nguong!$D$4:$D$8),$D55))</f>
        <v/>
      </c>
      <c r="AB55" s="17" t="str">
        <f aca="false">IF($B55="","",IF($Y55="Không đạt",IF($D55=1,"Không đạt ĐK cần – SM/GĐKV xem xét","Xuống Level "&amp;($D55-1)&amp;" (không đạt ĐK cần)"),IF(AND($D55&lt;5,$Z55&lt;&gt;"-",$X55&lt;=$Z55,$N55="Có",$O55="Có"),"Lên Level "&amp;($D55+1),IF($X55&lt;=$AA55,"Giữ Level "&amp;$D55,"Xuống Level "&amp;($D55-1)&amp;" (ngoài ngưỡng giữ)"))))</f>
        <v/>
      </c>
    </row>
    <row r="56" customFormat="false" ht="15" hidden="false" customHeight="false" outlineLevel="0" collapsed="false">
      <c r="A56" s="7"/>
      <c r="B56" s="7"/>
      <c r="C56" s="8"/>
      <c r="D56" s="8"/>
      <c r="E56" s="8"/>
      <c r="F56" s="9"/>
      <c r="G56" s="9"/>
      <c r="H56" s="9"/>
      <c r="I56" s="9"/>
      <c r="J56" s="9"/>
      <c r="K56" s="9"/>
      <c r="L56" s="9"/>
      <c r="M56" s="8"/>
      <c r="N56" s="8"/>
      <c r="O56" s="8"/>
      <c r="P56" s="10" t="str">
        <f aca="false">IF($B56="","",IF(AND($C56="Supporter",$E56=4),3,$E56))</f>
        <v/>
      </c>
      <c r="Q56" s="11" t="str">
        <f aca="false">IF($B56="","",IF($G56&gt;0,$H56/$G56,0))</f>
        <v/>
      </c>
      <c r="R56" s="12" t="str">
        <f aca="false">IF($B56="","",IF($G56&gt;0,$I56/$G56,0))</f>
        <v/>
      </c>
      <c r="S56" s="13" t="str">
        <f aca="false">IF($B56="","",IF($W56&lt;=1,100,COUNTIFS($C$5:$C$204,$C56,$P$5:$P$204,$P56,$F$5:$F$204,"&lt;"&amp;$F56)/($W56-1)*100))</f>
        <v/>
      </c>
      <c r="T56" s="13" t="str">
        <f aca="false">IF($B56="","",IF($C56="Supporter","-",IF($W56&lt;=1,100,COUNTIFS($C$5:$C$204,$C56,$P$5:$P$204,$P56,$Q$5:$Q$204,"&lt;"&amp;$Q56)/($W56-1)*100)))</f>
        <v/>
      </c>
      <c r="U56" s="14" t="str">
        <f aca="false">IF($B56="","",IF($C56="Supporter",$S56,0.85*$S56+0.15*$T56))</f>
        <v/>
      </c>
      <c r="V56" s="10" t="str">
        <f aca="false">IF($B56="","",COUNTIFS($C$5:$C$204,$C56,$P$5:$P$204,$P56,$U$5:$U$204,"&gt;"&amp;$U56)+1)</f>
        <v/>
      </c>
      <c r="W56" s="10" t="str">
        <f aca="false">IF($B56="","",COUNTIFS($C$5:$C$204,$C56,$P$5:$P$204,$P56))</f>
        <v/>
      </c>
      <c r="X56" s="15" t="str">
        <f aca="false">IF($B56="","",$V56/$W56)</f>
        <v/>
      </c>
      <c r="Y56" s="10" t="str">
        <f aca="false">IF($B56="","",IF(AND($M56="Có",$J56&lt;=Nguong!$B$16,$K56&lt;=Nguong!$B$17,$L56&lt;=Nguong!$B$18,$R56&lt;=INDEX(Nguong!$B$4:$B$8,$D56)),"Đạt","Không đạt"))</f>
        <v/>
      </c>
      <c r="Z56" s="16" t="str">
        <f aca="false">IF($B56="","",IF($D56&gt;=5,"-",INDEX(IF($C56="Supporter",Nguong!$E$4:$E$8,Nguong!$C$4:$C$8),$D56+1)))</f>
        <v/>
      </c>
      <c r="AA56" s="16" t="str">
        <f aca="false">IF($B56="","",INDEX(IF($C56="Supporter",Nguong!$F$4:$F$8,Nguong!$D$4:$D$8),$D56))</f>
        <v/>
      </c>
      <c r="AB56" s="17" t="str">
        <f aca="false">IF($B56="","",IF($Y56="Không đạt",IF($D56=1,"Không đạt ĐK cần – SM/GĐKV xem xét","Xuống Level "&amp;($D56-1)&amp;" (không đạt ĐK cần)"),IF(AND($D56&lt;5,$Z56&lt;&gt;"-",$X56&lt;=$Z56,$N56="Có",$O56="Có"),"Lên Level "&amp;($D56+1),IF($X56&lt;=$AA56,"Giữ Level "&amp;$D56,"Xuống Level "&amp;($D56-1)&amp;" (ngoài ngưỡng giữ)"))))</f>
        <v/>
      </c>
    </row>
    <row r="57" customFormat="false" ht="15" hidden="false" customHeight="false" outlineLevel="0" collapsed="false">
      <c r="A57" s="7"/>
      <c r="B57" s="7"/>
      <c r="C57" s="8"/>
      <c r="D57" s="8"/>
      <c r="E57" s="8"/>
      <c r="F57" s="9"/>
      <c r="G57" s="9"/>
      <c r="H57" s="9"/>
      <c r="I57" s="9"/>
      <c r="J57" s="9"/>
      <c r="K57" s="9"/>
      <c r="L57" s="9"/>
      <c r="M57" s="8"/>
      <c r="N57" s="8"/>
      <c r="O57" s="8"/>
      <c r="P57" s="10" t="str">
        <f aca="false">IF($B57="","",IF(AND($C57="Supporter",$E57=4),3,$E57))</f>
        <v/>
      </c>
      <c r="Q57" s="11" t="str">
        <f aca="false">IF($B57="","",IF($G57&gt;0,$H57/$G57,0))</f>
        <v/>
      </c>
      <c r="R57" s="12" t="str">
        <f aca="false">IF($B57="","",IF($G57&gt;0,$I57/$G57,0))</f>
        <v/>
      </c>
      <c r="S57" s="13" t="str">
        <f aca="false">IF($B57="","",IF($W57&lt;=1,100,COUNTIFS($C$5:$C$204,$C57,$P$5:$P$204,$P57,$F$5:$F$204,"&lt;"&amp;$F57)/($W57-1)*100))</f>
        <v/>
      </c>
      <c r="T57" s="13" t="str">
        <f aca="false">IF($B57="","",IF($C57="Supporter","-",IF($W57&lt;=1,100,COUNTIFS($C$5:$C$204,$C57,$P$5:$P$204,$P57,$Q$5:$Q$204,"&lt;"&amp;$Q57)/($W57-1)*100)))</f>
        <v/>
      </c>
      <c r="U57" s="14" t="str">
        <f aca="false">IF($B57="","",IF($C57="Supporter",$S57,0.85*$S57+0.15*$T57))</f>
        <v/>
      </c>
      <c r="V57" s="10" t="str">
        <f aca="false">IF($B57="","",COUNTIFS($C$5:$C$204,$C57,$P$5:$P$204,$P57,$U$5:$U$204,"&gt;"&amp;$U57)+1)</f>
        <v/>
      </c>
      <c r="W57" s="10" t="str">
        <f aca="false">IF($B57="","",COUNTIFS($C$5:$C$204,$C57,$P$5:$P$204,$P57))</f>
        <v/>
      </c>
      <c r="X57" s="15" t="str">
        <f aca="false">IF($B57="","",$V57/$W57)</f>
        <v/>
      </c>
      <c r="Y57" s="10" t="str">
        <f aca="false">IF($B57="","",IF(AND($M57="Có",$J57&lt;=Nguong!$B$16,$K57&lt;=Nguong!$B$17,$L57&lt;=Nguong!$B$18,$R57&lt;=INDEX(Nguong!$B$4:$B$8,$D57)),"Đạt","Không đạt"))</f>
        <v/>
      </c>
      <c r="Z57" s="16" t="str">
        <f aca="false">IF($B57="","",IF($D57&gt;=5,"-",INDEX(IF($C57="Supporter",Nguong!$E$4:$E$8,Nguong!$C$4:$C$8),$D57+1)))</f>
        <v/>
      </c>
      <c r="AA57" s="16" t="str">
        <f aca="false">IF($B57="","",INDEX(IF($C57="Supporter",Nguong!$F$4:$F$8,Nguong!$D$4:$D$8),$D57))</f>
        <v/>
      </c>
      <c r="AB57" s="17" t="str">
        <f aca="false">IF($B57="","",IF($Y57="Không đạt",IF($D57=1,"Không đạt ĐK cần – SM/GĐKV xem xét","Xuống Level "&amp;($D57-1)&amp;" (không đạt ĐK cần)"),IF(AND($D57&lt;5,$Z57&lt;&gt;"-",$X57&lt;=$Z57,$N57="Có",$O57="Có"),"Lên Level "&amp;($D57+1),IF($X57&lt;=$AA57,"Giữ Level "&amp;$D57,"Xuống Level "&amp;($D57-1)&amp;" (ngoài ngưỡng giữ)"))))</f>
        <v/>
      </c>
    </row>
    <row r="58" customFormat="false" ht="15" hidden="false" customHeight="false" outlineLevel="0" collapsed="false">
      <c r="A58" s="7"/>
      <c r="B58" s="7"/>
      <c r="C58" s="8"/>
      <c r="D58" s="8"/>
      <c r="E58" s="8"/>
      <c r="F58" s="9"/>
      <c r="G58" s="9"/>
      <c r="H58" s="9"/>
      <c r="I58" s="9"/>
      <c r="J58" s="9"/>
      <c r="K58" s="9"/>
      <c r="L58" s="9"/>
      <c r="M58" s="8"/>
      <c r="N58" s="8"/>
      <c r="O58" s="8"/>
      <c r="P58" s="10" t="str">
        <f aca="false">IF($B58="","",IF(AND($C58="Supporter",$E58=4),3,$E58))</f>
        <v/>
      </c>
      <c r="Q58" s="11" t="str">
        <f aca="false">IF($B58="","",IF($G58&gt;0,$H58/$G58,0))</f>
        <v/>
      </c>
      <c r="R58" s="12" t="str">
        <f aca="false">IF($B58="","",IF($G58&gt;0,$I58/$G58,0))</f>
        <v/>
      </c>
      <c r="S58" s="13" t="str">
        <f aca="false">IF($B58="","",IF($W58&lt;=1,100,COUNTIFS($C$5:$C$204,$C58,$P$5:$P$204,$P58,$F$5:$F$204,"&lt;"&amp;$F58)/($W58-1)*100))</f>
        <v/>
      </c>
      <c r="T58" s="13" t="str">
        <f aca="false">IF($B58="","",IF($C58="Supporter","-",IF($W58&lt;=1,100,COUNTIFS($C$5:$C$204,$C58,$P$5:$P$204,$P58,$Q$5:$Q$204,"&lt;"&amp;$Q58)/($W58-1)*100)))</f>
        <v/>
      </c>
      <c r="U58" s="14" t="str">
        <f aca="false">IF($B58="","",IF($C58="Supporter",$S58,0.85*$S58+0.15*$T58))</f>
        <v/>
      </c>
      <c r="V58" s="10" t="str">
        <f aca="false">IF($B58="","",COUNTIFS($C$5:$C$204,$C58,$P$5:$P$204,$P58,$U$5:$U$204,"&gt;"&amp;$U58)+1)</f>
        <v/>
      </c>
      <c r="W58" s="10" t="str">
        <f aca="false">IF($B58="","",COUNTIFS($C$5:$C$204,$C58,$P$5:$P$204,$P58))</f>
        <v/>
      </c>
      <c r="X58" s="15" t="str">
        <f aca="false">IF($B58="","",$V58/$W58)</f>
        <v/>
      </c>
      <c r="Y58" s="10" t="str">
        <f aca="false">IF($B58="","",IF(AND($M58="Có",$J58&lt;=Nguong!$B$16,$K58&lt;=Nguong!$B$17,$L58&lt;=Nguong!$B$18,$R58&lt;=INDEX(Nguong!$B$4:$B$8,$D58)),"Đạt","Không đạt"))</f>
        <v/>
      </c>
      <c r="Z58" s="16" t="str">
        <f aca="false">IF($B58="","",IF($D58&gt;=5,"-",INDEX(IF($C58="Supporter",Nguong!$E$4:$E$8,Nguong!$C$4:$C$8),$D58+1)))</f>
        <v/>
      </c>
      <c r="AA58" s="16" t="str">
        <f aca="false">IF($B58="","",INDEX(IF($C58="Supporter",Nguong!$F$4:$F$8,Nguong!$D$4:$D$8),$D58))</f>
        <v/>
      </c>
      <c r="AB58" s="17" t="str">
        <f aca="false">IF($B58="","",IF($Y58="Không đạt",IF($D58=1,"Không đạt ĐK cần – SM/GĐKV xem xét","Xuống Level "&amp;($D58-1)&amp;" (không đạt ĐK cần)"),IF(AND($D58&lt;5,$Z58&lt;&gt;"-",$X58&lt;=$Z58,$N58="Có",$O58="Có"),"Lên Level "&amp;($D58+1),IF($X58&lt;=$AA58,"Giữ Level "&amp;$D58,"Xuống Level "&amp;($D58-1)&amp;" (ngoài ngưỡng giữ)"))))</f>
        <v/>
      </c>
    </row>
    <row r="59" customFormat="false" ht="15" hidden="false" customHeight="false" outlineLevel="0" collapsed="false">
      <c r="A59" s="7"/>
      <c r="B59" s="7"/>
      <c r="C59" s="8"/>
      <c r="D59" s="8"/>
      <c r="E59" s="8"/>
      <c r="F59" s="9"/>
      <c r="G59" s="9"/>
      <c r="H59" s="9"/>
      <c r="I59" s="9"/>
      <c r="J59" s="9"/>
      <c r="K59" s="9"/>
      <c r="L59" s="9"/>
      <c r="M59" s="8"/>
      <c r="N59" s="8"/>
      <c r="O59" s="8"/>
      <c r="P59" s="10" t="str">
        <f aca="false">IF($B59="","",IF(AND($C59="Supporter",$E59=4),3,$E59))</f>
        <v/>
      </c>
      <c r="Q59" s="11" t="str">
        <f aca="false">IF($B59="","",IF($G59&gt;0,$H59/$G59,0))</f>
        <v/>
      </c>
      <c r="R59" s="12" t="str">
        <f aca="false">IF($B59="","",IF($G59&gt;0,$I59/$G59,0))</f>
        <v/>
      </c>
      <c r="S59" s="13" t="str">
        <f aca="false">IF($B59="","",IF($W59&lt;=1,100,COUNTIFS($C$5:$C$204,$C59,$P$5:$P$204,$P59,$F$5:$F$204,"&lt;"&amp;$F59)/($W59-1)*100))</f>
        <v/>
      </c>
      <c r="T59" s="13" t="str">
        <f aca="false">IF($B59="","",IF($C59="Supporter","-",IF($W59&lt;=1,100,COUNTIFS($C$5:$C$204,$C59,$P$5:$P$204,$P59,$Q$5:$Q$204,"&lt;"&amp;$Q59)/($W59-1)*100)))</f>
        <v/>
      </c>
      <c r="U59" s="14" t="str">
        <f aca="false">IF($B59="","",IF($C59="Supporter",$S59,0.85*$S59+0.15*$T59))</f>
        <v/>
      </c>
      <c r="V59" s="10" t="str">
        <f aca="false">IF($B59="","",COUNTIFS($C$5:$C$204,$C59,$P$5:$P$204,$P59,$U$5:$U$204,"&gt;"&amp;$U59)+1)</f>
        <v/>
      </c>
      <c r="W59" s="10" t="str">
        <f aca="false">IF($B59="","",COUNTIFS($C$5:$C$204,$C59,$P$5:$P$204,$P59))</f>
        <v/>
      </c>
      <c r="X59" s="15" t="str">
        <f aca="false">IF($B59="","",$V59/$W59)</f>
        <v/>
      </c>
      <c r="Y59" s="10" t="str">
        <f aca="false">IF($B59="","",IF(AND($M59="Có",$J59&lt;=Nguong!$B$16,$K59&lt;=Nguong!$B$17,$L59&lt;=Nguong!$B$18,$R59&lt;=INDEX(Nguong!$B$4:$B$8,$D59)),"Đạt","Không đạt"))</f>
        <v/>
      </c>
      <c r="Z59" s="16" t="str">
        <f aca="false">IF($B59="","",IF($D59&gt;=5,"-",INDEX(IF($C59="Supporter",Nguong!$E$4:$E$8,Nguong!$C$4:$C$8),$D59+1)))</f>
        <v/>
      </c>
      <c r="AA59" s="16" t="str">
        <f aca="false">IF($B59="","",INDEX(IF($C59="Supporter",Nguong!$F$4:$F$8,Nguong!$D$4:$D$8),$D59))</f>
        <v/>
      </c>
      <c r="AB59" s="17" t="str">
        <f aca="false">IF($B59="","",IF($Y59="Không đạt",IF($D59=1,"Không đạt ĐK cần – SM/GĐKV xem xét","Xuống Level "&amp;($D59-1)&amp;" (không đạt ĐK cần)"),IF(AND($D59&lt;5,$Z59&lt;&gt;"-",$X59&lt;=$Z59,$N59="Có",$O59="Có"),"Lên Level "&amp;($D59+1),IF($X59&lt;=$AA59,"Giữ Level "&amp;$D59,"Xuống Level "&amp;($D59-1)&amp;" (ngoài ngưỡng giữ)"))))</f>
        <v/>
      </c>
    </row>
    <row r="60" customFormat="false" ht="15" hidden="false" customHeight="false" outlineLevel="0" collapsed="false">
      <c r="A60" s="7"/>
      <c r="B60" s="7"/>
      <c r="C60" s="8"/>
      <c r="D60" s="8"/>
      <c r="E60" s="8"/>
      <c r="F60" s="9"/>
      <c r="G60" s="9"/>
      <c r="H60" s="9"/>
      <c r="I60" s="9"/>
      <c r="J60" s="9"/>
      <c r="K60" s="9"/>
      <c r="L60" s="9"/>
      <c r="M60" s="8"/>
      <c r="N60" s="8"/>
      <c r="O60" s="8"/>
      <c r="P60" s="10" t="str">
        <f aca="false">IF($B60="","",IF(AND($C60="Supporter",$E60=4),3,$E60))</f>
        <v/>
      </c>
      <c r="Q60" s="11" t="str">
        <f aca="false">IF($B60="","",IF($G60&gt;0,$H60/$G60,0))</f>
        <v/>
      </c>
      <c r="R60" s="12" t="str">
        <f aca="false">IF($B60="","",IF($G60&gt;0,$I60/$G60,0))</f>
        <v/>
      </c>
      <c r="S60" s="13" t="str">
        <f aca="false">IF($B60="","",IF($W60&lt;=1,100,COUNTIFS($C$5:$C$204,$C60,$P$5:$P$204,$P60,$F$5:$F$204,"&lt;"&amp;$F60)/($W60-1)*100))</f>
        <v/>
      </c>
      <c r="T60" s="13" t="str">
        <f aca="false">IF($B60="","",IF($C60="Supporter","-",IF($W60&lt;=1,100,COUNTIFS($C$5:$C$204,$C60,$P$5:$P$204,$P60,$Q$5:$Q$204,"&lt;"&amp;$Q60)/($W60-1)*100)))</f>
        <v/>
      </c>
      <c r="U60" s="14" t="str">
        <f aca="false">IF($B60="","",IF($C60="Supporter",$S60,0.85*$S60+0.15*$T60))</f>
        <v/>
      </c>
      <c r="V60" s="10" t="str">
        <f aca="false">IF($B60="","",COUNTIFS($C$5:$C$204,$C60,$P$5:$P$204,$P60,$U$5:$U$204,"&gt;"&amp;$U60)+1)</f>
        <v/>
      </c>
      <c r="W60" s="10" t="str">
        <f aca="false">IF($B60="","",COUNTIFS($C$5:$C$204,$C60,$P$5:$P$204,$P60))</f>
        <v/>
      </c>
      <c r="X60" s="15" t="str">
        <f aca="false">IF($B60="","",$V60/$W60)</f>
        <v/>
      </c>
      <c r="Y60" s="10" t="str">
        <f aca="false">IF($B60="","",IF(AND($M60="Có",$J60&lt;=Nguong!$B$16,$K60&lt;=Nguong!$B$17,$L60&lt;=Nguong!$B$18,$R60&lt;=INDEX(Nguong!$B$4:$B$8,$D60)),"Đạt","Không đạt"))</f>
        <v/>
      </c>
      <c r="Z60" s="16" t="str">
        <f aca="false">IF($B60="","",IF($D60&gt;=5,"-",INDEX(IF($C60="Supporter",Nguong!$E$4:$E$8,Nguong!$C$4:$C$8),$D60+1)))</f>
        <v/>
      </c>
      <c r="AA60" s="16" t="str">
        <f aca="false">IF($B60="","",INDEX(IF($C60="Supporter",Nguong!$F$4:$F$8,Nguong!$D$4:$D$8),$D60))</f>
        <v/>
      </c>
      <c r="AB60" s="17" t="str">
        <f aca="false">IF($B60="","",IF($Y60="Không đạt",IF($D60=1,"Không đạt ĐK cần – SM/GĐKV xem xét","Xuống Level "&amp;($D60-1)&amp;" (không đạt ĐK cần)"),IF(AND($D60&lt;5,$Z60&lt;&gt;"-",$X60&lt;=$Z60,$N60="Có",$O60="Có"),"Lên Level "&amp;($D60+1),IF($X60&lt;=$AA60,"Giữ Level "&amp;$D60,"Xuống Level "&amp;($D60-1)&amp;" (ngoài ngưỡng giữ)"))))</f>
        <v/>
      </c>
    </row>
    <row r="61" customFormat="false" ht="15" hidden="false" customHeight="false" outlineLevel="0" collapsed="false">
      <c r="A61" s="7"/>
      <c r="B61" s="7"/>
      <c r="C61" s="8"/>
      <c r="D61" s="8"/>
      <c r="E61" s="8"/>
      <c r="F61" s="9"/>
      <c r="G61" s="9"/>
      <c r="H61" s="9"/>
      <c r="I61" s="9"/>
      <c r="J61" s="9"/>
      <c r="K61" s="9"/>
      <c r="L61" s="9"/>
      <c r="M61" s="8"/>
      <c r="N61" s="8"/>
      <c r="O61" s="8"/>
      <c r="P61" s="10" t="str">
        <f aca="false">IF($B61="","",IF(AND($C61="Supporter",$E61=4),3,$E61))</f>
        <v/>
      </c>
      <c r="Q61" s="11" t="str">
        <f aca="false">IF($B61="","",IF($G61&gt;0,$H61/$G61,0))</f>
        <v/>
      </c>
      <c r="R61" s="12" t="str">
        <f aca="false">IF($B61="","",IF($G61&gt;0,$I61/$G61,0))</f>
        <v/>
      </c>
      <c r="S61" s="13" t="str">
        <f aca="false">IF($B61="","",IF($W61&lt;=1,100,COUNTIFS($C$5:$C$204,$C61,$P$5:$P$204,$P61,$F$5:$F$204,"&lt;"&amp;$F61)/($W61-1)*100))</f>
        <v/>
      </c>
      <c r="T61" s="13" t="str">
        <f aca="false">IF($B61="","",IF($C61="Supporter","-",IF($W61&lt;=1,100,COUNTIFS($C$5:$C$204,$C61,$P$5:$P$204,$P61,$Q$5:$Q$204,"&lt;"&amp;$Q61)/($W61-1)*100)))</f>
        <v/>
      </c>
      <c r="U61" s="14" t="str">
        <f aca="false">IF($B61="","",IF($C61="Supporter",$S61,0.85*$S61+0.15*$T61))</f>
        <v/>
      </c>
      <c r="V61" s="10" t="str">
        <f aca="false">IF($B61="","",COUNTIFS($C$5:$C$204,$C61,$P$5:$P$204,$P61,$U$5:$U$204,"&gt;"&amp;$U61)+1)</f>
        <v/>
      </c>
      <c r="W61" s="10" t="str">
        <f aca="false">IF($B61="","",COUNTIFS($C$5:$C$204,$C61,$P$5:$P$204,$P61))</f>
        <v/>
      </c>
      <c r="X61" s="15" t="str">
        <f aca="false">IF($B61="","",$V61/$W61)</f>
        <v/>
      </c>
      <c r="Y61" s="10" t="str">
        <f aca="false">IF($B61="","",IF(AND($M61="Có",$J61&lt;=Nguong!$B$16,$K61&lt;=Nguong!$B$17,$L61&lt;=Nguong!$B$18,$R61&lt;=INDEX(Nguong!$B$4:$B$8,$D61)),"Đạt","Không đạt"))</f>
        <v/>
      </c>
      <c r="Z61" s="16" t="str">
        <f aca="false">IF($B61="","",IF($D61&gt;=5,"-",INDEX(IF($C61="Supporter",Nguong!$E$4:$E$8,Nguong!$C$4:$C$8),$D61+1)))</f>
        <v/>
      </c>
      <c r="AA61" s="16" t="str">
        <f aca="false">IF($B61="","",INDEX(IF($C61="Supporter",Nguong!$F$4:$F$8,Nguong!$D$4:$D$8),$D61))</f>
        <v/>
      </c>
      <c r="AB61" s="17" t="str">
        <f aca="false">IF($B61="","",IF($Y61="Không đạt",IF($D61=1,"Không đạt ĐK cần – SM/GĐKV xem xét","Xuống Level "&amp;($D61-1)&amp;" (không đạt ĐK cần)"),IF(AND($D61&lt;5,$Z61&lt;&gt;"-",$X61&lt;=$Z61,$N61="Có",$O61="Có"),"Lên Level "&amp;($D61+1),IF($X61&lt;=$AA61,"Giữ Level "&amp;$D61,"Xuống Level "&amp;($D61-1)&amp;" (ngoài ngưỡng giữ)"))))</f>
        <v/>
      </c>
    </row>
    <row r="62" customFormat="false" ht="15" hidden="false" customHeight="false" outlineLevel="0" collapsed="false">
      <c r="A62" s="7"/>
      <c r="B62" s="7"/>
      <c r="C62" s="8"/>
      <c r="D62" s="8"/>
      <c r="E62" s="8"/>
      <c r="F62" s="9"/>
      <c r="G62" s="9"/>
      <c r="H62" s="9"/>
      <c r="I62" s="9"/>
      <c r="J62" s="9"/>
      <c r="K62" s="9"/>
      <c r="L62" s="9"/>
      <c r="M62" s="8"/>
      <c r="N62" s="8"/>
      <c r="O62" s="8"/>
      <c r="P62" s="10" t="str">
        <f aca="false">IF($B62="","",IF(AND($C62="Supporter",$E62=4),3,$E62))</f>
        <v/>
      </c>
      <c r="Q62" s="11" t="str">
        <f aca="false">IF($B62="","",IF($G62&gt;0,$H62/$G62,0))</f>
        <v/>
      </c>
      <c r="R62" s="12" t="str">
        <f aca="false">IF($B62="","",IF($G62&gt;0,$I62/$G62,0))</f>
        <v/>
      </c>
      <c r="S62" s="13" t="str">
        <f aca="false">IF($B62="","",IF($W62&lt;=1,100,COUNTIFS($C$5:$C$204,$C62,$P$5:$P$204,$P62,$F$5:$F$204,"&lt;"&amp;$F62)/($W62-1)*100))</f>
        <v/>
      </c>
      <c r="T62" s="13" t="str">
        <f aca="false">IF($B62="","",IF($C62="Supporter","-",IF($W62&lt;=1,100,COUNTIFS($C$5:$C$204,$C62,$P$5:$P$204,$P62,$Q$5:$Q$204,"&lt;"&amp;$Q62)/($W62-1)*100)))</f>
        <v/>
      </c>
      <c r="U62" s="14" t="str">
        <f aca="false">IF($B62="","",IF($C62="Supporter",$S62,0.85*$S62+0.15*$T62))</f>
        <v/>
      </c>
      <c r="V62" s="10" t="str">
        <f aca="false">IF($B62="","",COUNTIFS($C$5:$C$204,$C62,$P$5:$P$204,$P62,$U$5:$U$204,"&gt;"&amp;$U62)+1)</f>
        <v/>
      </c>
      <c r="W62" s="10" t="str">
        <f aca="false">IF($B62="","",COUNTIFS($C$5:$C$204,$C62,$P$5:$P$204,$P62))</f>
        <v/>
      </c>
      <c r="X62" s="15" t="str">
        <f aca="false">IF($B62="","",$V62/$W62)</f>
        <v/>
      </c>
      <c r="Y62" s="10" t="str">
        <f aca="false">IF($B62="","",IF(AND($M62="Có",$J62&lt;=Nguong!$B$16,$K62&lt;=Nguong!$B$17,$L62&lt;=Nguong!$B$18,$R62&lt;=INDEX(Nguong!$B$4:$B$8,$D62)),"Đạt","Không đạt"))</f>
        <v/>
      </c>
      <c r="Z62" s="16" t="str">
        <f aca="false">IF($B62="","",IF($D62&gt;=5,"-",INDEX(IF($C62="Supporter",Nguong!$E$4:$E$8,Nguong!$C$4:$C$8),$D62+1)))</f>
        <v/>
      </c>
      <c r="AA62" s="16" t="str">
        <f aca="false">IF($B62="","",INDEX(IF($C62="Supporter",Nguong!$F$4:$F$8,Nguong!$D$4:$D$8),$D62))</f>
        <v/>
      </c>
      <c r="AB62" s="17" t="str">
        <f aca="false">IF($B62="","",IF($Y62="Không đạt",IF($D62=1,"Không đạt ĐK cần – SM/GĐKV xem xét","Xuống Level "&amp;($D62-1)&amp;" (không đạt ĐK cần)"),IF(AND($D62&lt;5,$Z62&lt;&gt;"-",$X62&lt;=$Z62,$N62="Có",$O62="Có"),"Lên Level "&amp;($D62+1),IF($X62&lt;=$AA62,"Giữ Level "&amp;$D62,"Xuống Level "&amp;($D62-1)&amp;" (ngoài ngưỡng giữ)"))))</f>
        <v/>
      </c>
    </row>
    <row r="63" customFormat="false" ht="15" hidden="false" customHeight="false" outlineLevel="0" collapsed="false">
      <c r="A63" s="7"/>
      <c r="B63" s="7"/>
      <c r="C63" s="8"/>
      <c r="D63" s="8"/>
      <c r="E63" s="8"/>
      <c r="F63" s="9"/>
      <c r="G63" s="9"/>
      <c r="H63" s="9"/>
      <c r="I63" s="9"/>
      <c r="J63" s="9"/>
      <c r="K63" s="9"/>
      <c r="L63" s="9"/>
      <c r="M63" s="8"/>
      <c r="N63" s="8"/>
      <c r="O63" s="8"/>
      <c r="P63" s="10" t="str">
        <f aca="false">IF($B63="","",IF(AND($C63="Supporter",$E63=4),3,$E63))</f>
        <v/>
      </c>
      <c r="Q63" s="11" t="str">
        <f aca="false">IF($B63="","",IF($G63&gt;0,$H63/$G63,0))</f>
        <v/>
      </c>
      <c r="R63" s="12" t="str">
        <f aca="false">IF($B63="","",IF($G63&gt;0,$I63/$G63,0))</f>
        <v/>
      </c>
      <c r="S63" s="13" t="str">
        <f aca="false">IF($B63="","",IF($W63&lt;=1,100,COUNTIFS($C$5:$C$204,$C63,$P$5:$P$204,$P63,$F$5:$F$204,"&lt;"&amp;$F63)/($W63-1)*100))</f>
        <v/>
      </c>
      <c r="T63" s="13" t="str">
        <f aca="false">IF($B63="","",IF($C63="Supporter","-",IF($W63&lt;=1,100,COUNTIFS($C$5:$C$204,$C63,$P$5:$P$204,$P63,$Q$5:$Q$204,"&lt;"&amp;$Q63)/($W63-1)*100)))</f>
        <v/>
      </c>
      <c r="U63" s="14" t="str">
        <f aca="false">IF($B63="","",IF($C63="Supporter",$S63,0.85*$S63+0.15*$T63))</f>
        <v/>
      </c>
      <c r="V63" s="10" t="str">
        <f aca="false">IF($B63="","",COUNTIFS($C$5:$C$204,$C63,$P$5:$P$204,$P63,$U$5:$U$204,"&gt;"&amp;$U63)+1)</f>
        <v/>
      </c>
      <c r="W63" s="10" t="str">
        <f aca="false">IF($B63="","",COUNTIFS($C$5:$C$204,$C63,$P$5:$P$204,$P63))</f>
        <v/>
      </c>
      <c r="X63" s="15" t="str">
        <f aca="false">IF($B63="","",$V63/$W63)</f>
        <v/>
      </c>
      <c r="Y63" s="10" t="str">
        <f aca="false">IF($B63="","",IF(AND($M63="Có",$J63&lt;=Nguong!$B$16,$K63&lt;=Nguong!$B$17,$L63&lt;=Nguong!$B$18,$R63&lt;=INDEX(Nguong!$B$4:$B$8,$D63)),"Đạt","Không đạt"))</f>
        <v/>
      </c>
      <c r="Z63" s="16" t="str">
        <f aca="false">IF($B63="","",IF($D63&gt;=5,"-",INDEX(IF($C63="Supporter",Nguong!$E$4:$E$8,Nguong!$C$4:$C$8),$D63+1)))</f>
        <v/>
      </c>
      <c r="AA63" s="16" t="str">
        <f aca="false">IF($B63="","",INDEX(IF($C63="Supporter",Nguong!$F$4:$F$8,Nguong!$D$4:$D$8),$D63))</f>
        <v/>
      </c>
      <c r="AB63" s="17" t="str">
        <f aca="false">IF($B63="","",IF($Y63="Không đạt",IF($D63=1,"Không đạt ĐK cần – SM/GĐKV xem xét","Xuống Level "&amp;($D63-1)&amp;" (không đạt ĐK cần)"),IF(AND($D63&lt;5,$Z63&lt;&gt;"-",$X63&lt;=$Z63,$N63="Có",$O63="Có"),"Lên Level "&amp;($D63+1),IF($X63&lt;=$AA63,"Giữ Level "&amp;$D63,"Xuống Level "&amp;($D63-1)&amp;" (ngoài ngưỡng giữ)"))))</f>
        <v/>
      </c>
    </row>
    <row r="64" customFormat="false" ht="15" hidden="false" customHeight="false" outlineLevel="0" collapsed="false">
      <c r="A64" s="7"/>
      <c r="B64" s="7"/>
      <c r="C64" s="8"/>
      <c r="D64" s="8"/>
      <c r="E64" s="8"/>
      <c r="F64" s="9"/>
      <c r="G64" s="9"/>
      <c r="H64" s="9"/>
      <c r="I64" s="9"/>
      <c r="J64" s="9"/>
      <c r="K64" s="9"/>
      <c r="L64" s="9"/>
      <c r="M64" s="8"/>
      <c r="N64" s="8"/>
      <c r="O64" s="8"/>
      <c r="P64" s="10" t="str">
        <f aca="false">IF($B64="","",IF(AND($C64="Supporter",$E64=4),3,$E64))</f>
        <v/>
      </c>
      <c r="Q64" s="11" t="str">
        <f aca="false">IF($B64="","",IF($G64&gt;0,$H64/$G64,0))</f>
        <v/>
      </c>
      <c r="R64" s="12" t="str">
        <f aca="false">IF($B64="","",IF($G64&gt;0,$I64/$G64,0))</f>
        <v/>
      </c>
      <c r="S64" s="13" t="str">
        <f aca="false">IF($B64="","",IF($W64&lt;=1,100,COUNTIFS($C$5:$C$204,$C64,$P$5:$P$204,$P64,$F$5:$F$204,"&lt;"&amp;$F64)/($W64-1)*100))</f>
        <v/>
      </c>
      <c r="T64" s="13" t="str">
        <f aca="false">IF($B64="","",IF($C64="Supporter","-",IF($W64&lt;=1,100,COUNTIFS($C$5:$C$204,$C64,$P$5:$P$204,$P64,$Q$5:$Q$204,"&lt;"&amp;$Q64)/($W64-1)*100)))</f>
        <v/>
      </c>
      <c r="U64" s="14" t="str">
        <f aca="false">IF($B64="","",IF($C64="Supporter",$S64,0.85*$S64+0.15*$T64))</f>
        <v/>
      </c>
      <c r="V64" s="10" t="str">
        <f aca="false">IF($B64="","",COUNTIFS($C$5:$C$204,$C64,$P$5:$P$204,$P64,$U$5:$U$204,"&gt;"&amp;$U64)+1)</f>
        <v/>
      </c>
      <c r="W64" s="10" t="str">
        <f aca="false">IF($B64="","",COUNTIFS($C$5:$C$204,$C64,$P$5:$P$204,$P64))</f>
        <v/>
      </c>
      <c r="X64" s="15" t="str">
        <f aca="false">IF($B64="","",$V64/$W64)</f>
        <v/>
      </c>
      <c r="Y64" s="10" t="str">
        <f aca="false">IF($B64="","",IF(AND($M64="Có",$J64&lt;=Nguong!$B$16,$K64&lt;=Nguong!$B$17,$L64&lt;=Nguong!$B$18,$R64&lt;=INDEX(Nguong!$B$4:$B$8,$D64)),"Đạt","Không đạt"))</f>
        <v/>
      </c>
      <c r="Z64" s="16" t="str">
        <f aca="false">IF($B64="","",IF($D64&gt;=5,"-",INDEX(IF($C64="Supporter",Nguong!$E$4:$E$8,Nguong!$C$4:$C$8),$D64+1)))</f>
        <v/>
      </c>
      <c r="AA64" s="16" t="str">
        <f aca="false">IF($B64="","",INDEX(IF($C64="Supporter",Nguong!$F$4:$F$8,Nguong!$D$4:$D$8),$D64))</f>
        <v/>
      </c>
      <c r="AB64" s="17" t="str">
        <f aca="false">IF($B64="","",IF($Y64="Không đạt",IF($D64=1,"Không đạt ĐK cần – SM/GĐKV xem xét","Xuống Level "&amp;($D64-1)&amp;" (không đạt ĐK cần)"),IF(AND($D64&lt;5,$Z64&lt;&gt;"-",$X64&lt;=$Z64,$N64="Có",$O64="Có"),"Lên Level "&amp;($D64+1),IF($X64&lt;=$AA64,"Giữ Level "&amp;$D64,"Xuống Level "&amp;($D64-1)&amp;" (ngoài ngưỡng giữ)"))))</f>
        <v/>
      </c>
    </row>
    <row r="65" customFormat="false" ht="15" hidden="false" customHeight="false" outlineLevel="0" collapsed="false">
      <c r="A65" s="7"/>
      <c r="B65" s="7"/>
      <c r="C65" s="8"/>
      <c r="D65" s="8"/>
      <c r="E65" s="8"/>
      <c r="F65" s="9"/>
      <c r="G65" s="9"/>
      <c r="H65" s="9"/>
      <c r="I65" s="9"/>
      <c r="J65" s="9"/>
      <c r="K65" s="9"/>
      <c r="L65" s="9"/>
      <c r="M65" s="8"/>
      <c r="N65" s="8"/>
      <c r="O65" s="8"/>
      <c r="P65" s="10" t="str">
        <f aca="false">IF($B65="","",IF(AND($C65="Supporter",$E65=4),3,$E65))</f>
        <v/>
      </c>
      <c r="Q65" s="11" t="str">
        <f aca="false">IF($B65="","",IF($G65&gt;0,$H65/$G65,0))</f>
        <v/>
      </c>
      <c r="R65" s="12" t="str">
        <f aca="false">IF($B65="","",IF($G65&gt;0,$I65/$G65,0))</f>
        <v/>
      </c>
      <c r="S65" s="13" t="str">
        <f aca="false">IF($B65="","",IF($W65&lt;=1,100,COUNTIFS($C$5:$C$204,$C65,$P$5:$P$204,$P65,$F$5:$F$204,"&lt;"&amp;$F65)/($W65-1)*100))</f>
        <v/>
      </c>
      <c r="T65" s="13" t="str">
        <f aca="false">IF($B65="","",IF($C65="Supporter","-",IF($W65&lt;=1,100,COUNTIFS($C$5:$C$204,$C65,$P$5:$P$204,$P65,$Q$5:$Q$204,"&lt;"&amp;$Q65)/($W65-1)*100)))</f>
        <v/>
      </c>
      <c r="U65" s="14" t="str">
        <f aca="false">IF($B65="","",IF($C65="Supporter",$S65,0.85*$S65+0.15*$T65))</f>
        <v/>
      </c>
      <c r="V65" s="10" t="str">
        <f aca="false">IF($B65="","",COUNTIFS($C$5:$C$204,$C65,$P$5:$P$204,$P65,$U$5:$U$204,"&gt;"&amp;$U65)+1)</f>
        <v/>
      </c>
      <c r="W65" s="10" t="str">
        <f aca="false">IF($B65="","",COUNTIFS($C$5:$C$204,$C65,$P$5:$P$204,$P65))</f>
        <v/>
      </c>
      <c r="X65" s="15" t="str">
        <f aca="false">IF($B65="","",$V65/$W65)</f>
        <v/>
      </c>
      <c r="Y65" s="10" t="str">
        <f aca="false">IF($B65="","",IF(AND($M65="Có",$J65&lt;=Nguong!$B$16,$K65&lt;=Nguong!$B$17,$L65&lt;=Nguong!$B$18,$R65&lt;=INDEX(Nguong!$B$4:$B$8,$D65)),"Đạt","Không đạt"))</f>
        <v/>
      </c>
      <c r="Z65" s="16" t="str">
        <f aca="false">IF($B65="","",IF($D65&gt;=5,"-",INDEX(IF($C65="Supporter",Nguong!$E$4:$E$8,Nguong!$C$4:$C$8),$D65+1)))</f>
        <v/>
      </c>
      <c r="AA65" s="16" t="str">
        <f aca="false">IF($B65="","",INDEX(IF($C65="Supporter",Nguong!$F$4:$F$8,Nguong!$D$4:$D$8),$D65))</f>
        <v/>
      </c>
      <c r="AB65" s="17" t="str">
        <f aca="false">IF($B65="","",IF($Y65="Không đạt",IF($D65=1,"Không đạt ĐK cần – SM/GĐKV xem xét","Xuống Level "&amp;($D65-1)&amp;" (không đạt ĐK cần)"),IF(AND($D65&lt;5,$Z65&lt;&gt;"-",$X65&lt;=$Z65,$N65="Có",$O65="Có"),"Lên Level "&amp;($D65+1),IF($X65&lt;=$AA65,"Giữ Level "&amp;$D65,"Xuống Level "&amp;($D65-1)&amp;" (ngoài ngưỡng giữ)"))))</f>
        <v/>
      </c>
    </row>
    <row r="66" customFormat="false" ht="15" hidden="false" customHeight="false" outlineLevel="0" collapsed="false">
      <c r="A66" s="7"/>
      <c r="B66" s="7"/>
      <c r="C66" s="8"/>
      <c r="D66" s="8"/>
      <c r="E66" s="8"/>
      <c r="F66" s="9"/>
      <c r="G66" s="9"/>
      <c r="H66" s="9"/>
      <c r="I66" s="9"/>
      <c r="J66" s="9"/>
      <c r="K66" s="9"/>
      <c r="L66" s="9"/>
      <c r="M66" s="8"/>
      <c r="N66" s="8"/>
      <c r="O66" s="8"/>
      <c r="P66" s="10" t="str">
        <f aca="false">IF($B66="","",IF(AND($C66="Supporter",$E66=4),3,$E66))</f>
        <v/>
      </c>
      <c r="Q66" s="11" t="str">
        <f aca="false">IF($B66="","",IF($G66&gt;0,$H66/$G66,0))</f>
        <v/>
      </c>
      <c r="R66" s="12" t="str">
        <f aca="false">IF($B66="","",IF($G66&gt;0,$I66/$G66,0))</f>
        <v/>
      </c>
      <c r="S66" s="13" t="str">
        <f aca="false">IF($B66="","",IF($W66&lt;=1,100,COUNTIFS($C$5:$C$204,$C66,$P$5:$P$204,$P66,$F$5:$F$204,"&lt;"&amp;$F66)/($W66-1)*100))</f>
        <v/>
      </c>
      <c r="T66" s="13" t="str">
        <f aca="false">IF($B66="","",IF($C66="Supporter","-",IF($W66&lt;=1,100,COUNTIFS($C$5:$C$204,$C66,$P$5:$P$204,$P66,$Q$5:$Q$204,"&lt;"&amp;$Q66)/($W66-1)*100)))</f>
        <v/>
      </c>
      <c r="U66" s="14" t="str">
        <f aca="false">IF($B66="","",IF($C66="Supporter",$S66,0.85*$S66+0.15*$T66))</f>
        <v/>
      </c>
      <c r="V66" s="10" t="str">
        <f aca="false">IF($B66="","",COUNTIFS($C$5:$C$204,$C66,$P$5:$P$204,$P66,$U$5:$U$204,"&gt;"&amp;$U66)+1)</f>
        <v/>
      </c>
      <c r="W66" s="10" t="str">
        <f aca="false">IF($B66="","",COUNTIFS($C$5:$C$204,$C66,$P$5:$P$204,$P66))</f>
        <v/>
      </c>
      <c r="X66" s="15" t="str">
        <f aca="false">IF($B66="","",$V66/$W66)</f>
        <v/>
      </c>
      <c r="Y66" s="10" t="str">
        <f aca="false">IF($B66="","",IF(AND($M66="Có",$J66&lt;=Nguong!$B$16,$K66&lt;=Nguong!$B$17,$L66&lt;=Nguong!$B$18,$R66&lt;=INDEX(Nguong!$B$4:$B$8,$D66)),"Đạt","Không đạt"))</f>
        <v/>
      </c>
      <c r="Z66" s="16" t="str">
        <f aca="false">IF($B66="","",IF($D66&gt;=5,"-",INDEX(IF($C66="Supporter",Nguong!$E$4:$E$8,Nguong!$C$4:$C$8),$D66+1)))</f>
        <v/>
      </c>
      <c r="AA66" s="16" t="str">
        <f aca="false">IF($B66="","",INDEX(IF($C66="Supporter",Nguong!$F$4:$F$8,Nguong!$D$4:$D$8),$D66))</f>
        <v/>
      </c>
      <c r="AB66" s="17" t="str">
        <f aca="false">IF($B66="","",IF($Y66="Không đạt",IF($D66=1,"Không đạt ĐK cần – SM/GĐKV xem xét","Xuống Level "&amp;($D66-1)&amp;" (không đạt ĐK cần)"),IF(AND($D66&lt;5,$Z66&lt;&gt;"-",$X66&lt;=$Z66,$N66="Có",$O66="Có"),"Lên Level "&amp;($D66+1),IF($X66&lt;=$AA66,"Giữ Level "&amp;$D66,"Xuống Level "&amp;($D66-1)&amp;" (ngoài ngưỡng giữ)"))))</f>
        <v/>
      </c>
    </row>
    <row r="67" customFormat="false" ht="15" hidden="false" customHeight="false" outlineLevel="0" collapsed="false">
      <c r="A67" s="7"/>
      <c r="B67" s="7"/>
      <c r="C67" s="8"/>
      <c r="D67" s="8"/>
      <c r="E67" s="8"/>
      <c r="F67" s="9"/>
      <c r="G67" s="9"/>
      <c r="H67" s="9"/>
      <c r="I67" s="9"/>
      <c r="J67" s="9"/>
      <c r="K67" s="9"/>
      <c r="L67" s="9"/>
      <c r="M67" s="8"/>
      <c r="N67" s="8"/>
      <c r="O67" s="8"/>
      <c r="P67" s="10" t="str">
        <f aca="false">IF($B67="","",IF(AND($C67="Supporter",$E67=4),3,$E67))</f>
        <v/>
      </c>
      <c r="Q67" s="11" t="str">
        <f aca="false">IF($B67="","",IF($G67&gt;0,$H67/$G67,0))</f>
        <v/>
      </c>
      <c r="R67" s="12" t="str">
        <f aca="false">IF($B67="","",IF($G67&gt;0,$I67/$G67,0))</f>
        <v/>
      </c>
      <c r="S67" s="13" t="str">
        <f aca="false">IF($B67="","",IF($W67&lt;=1,100,COUNTIFS($C$5:$C$204,$C67,$P$5:$P$204,$P67,$F$5:$F$204,"&lt;"&amp;$F67)/($W67-1)*100))</f>
        <v/>
      </c>
      <c r="T67" s="13" t="str">
        <f aca="false">IF($B67="","",IF($C67="Supporter","-",IF($W67&lt;=1,100,COUNTIFS($C$5:$C$204,$C67,$P$5:$P$204,$P67,$Q$5:$Q$204,"&lt;"&amp;$Q67)/($W67-1)*100)))</f>
        <v/>
      </c>
      <c r="U67" s="14" t="str">
        <f aca="false">IF($B67="","",IF($C67="Supporter",$S67,0.85*$S67+0.15*$T67))</f>
        <v/>
      </c>
      <c r="V67" s="10" t="str">
        <f aca="false">IF($B67="","",COUNTIFS($C$5:$C$204,$C67,$P$5:$P$204,$P67,$U$5:$U$204,"&gt;"&amp;$U67)+1)</f>
        <v/>
      </c>
      <c r="W67" s="10" t="str">
        <f aca="false">IF($B67="","",COUNTIFS($C$5:$C$204,$C67,$P$5:$P$204,$P67))</f>
        <v/>
      </c>
      <c r="X67" s="15" t="str">
        <f aca="false">IF($B67="","",$V67/$W67)</f>
        <v/>
      </c>
      <c r="Y67" s="10" t="str">
        <f aca="false">IF($B67="","",IF(AND($M67="Có",$J67&lt;=Nguong!$B$16,$K67&lt;=Nguong!$B$17,$L67&lt;=Nguong!$B$18,$R67&lt;=INDEX(Nguong!$B$4:$B$8,$D67)),"Đạt","Không đạt"))</f>
        <v/>
      </c>
      <c r="Z67" s="16" t="str">
        <f aca="false">IF($B67="","",IF($D67&gt;=5,"-",INDEX(IF($C67="Supporter",Nguong!$E$4:$E$8,Nguong!$C$4:$C$8),$D67+1)))</f>
        <v/>
      </c>
      <c r="AA67" s="16" t="str">
        <f aca="false">IF($B67="","",INDEX(IF($C67="Supporter",Nguong!$F$4:$F$8,Nguong!$D$4:$D$8),$D67))</f>
        <v/>
      </c>
      <c r="AB67" s="17" t="str">
        <f aca="false">IF($B67="","",IF($Y67="Không đạt",IF($D67=1,"Không đạt ĐK cần – SM/GĐKV xem xét","Xuống Level "&amp;($D67-1)&amp;" (không đạt ĐK cần)"),IF(AND($D67&lt;5,$Z67&lt;&gt;"-",$X67&lt;=$Z67,$N67="Có",$O67="Có"),"Lên Level "&amp;($D67+1),IF($X67&lt;=$AA67,"Giữ Level "&amp;$D67,"Xuống Level "&amp;($D67-1)&amp;" (ngoài ngưỡng giữ)"))))</f>
        <v/>
      </c>
    </row>
    <row r="68" customFormat="false" ht="15" hidden="false" customHeight="false" outlineLevel="0" collapsed="false">
      <c r="A68" s="7"/>
      <c r="B68" s="7"/>
      <c r="C68" s="8"/>
      <c r="D68" s="8"/>
      <c r="E68" s="8"/>
      <c r="F68" s="9"/>
      <c r="G68" s="9"/>
      <c r="H68" s="9"/>
      <c r="I68" s="9"/>
      <c r="J68" s="9"/>
      <c r="K68" s="9"/>
      <c r="L68" s="9"/>
      <c r="M68" s="8"/>
      <c r="N68" s="8"/>
      <c r="O68" s="8"/>
      <c r="P68" s="10" t="str">
        <f aca="false">IF($B68="","",IF(AND($C68="Supporter",$E68=4),3,$E68))</f>
        <v/>
      </c>
      <c r="Q68" s="11" t="str">
        <f aca="false">IF($B68="","",IF($G68&gt;0,$H68/$G68,0))</f>
        <v/>
      </c>
      <c r="R68" s="12" t="str">
        <f aca="false">IF($B68="","",IF($G68&gt;0,$I68/$G68,0))</f>
        <v/>
      </c>
      <c r="S68" s="13" t="str">
        <f aca="false">IF($B68="","",IF($W68&lt;=1,100,COUNTIFS($C$5:$C$204,$C68,$P$5:$P$204,$P68,$F$5:$F$204,"&lt;"&amp;$F68)/($W68-1)*100))</f>
        <v/>
      </c>
      <c r="T68" s="13" t="str">
        <f aca="false">IF($B68="","",IF($C68="Supporter","-",IF($W68&lt;=1,100,COUNTIFS($C$5:$C$204,$C68,$P$5:$P$204,$P68,$Q$5:$Q$204,"&lt;"&amp;$Q68)/($W68-1)*100)))</f>
        <v/>
      </c>
      <c r="U68" s="14" t="str">
        <f aca="false">IF($B68="","",IF($C68="Supporter",$S68,0.85*$S68+0.15*$T68))</f>
        <v/>
      </c>
      <c r="V68" s="10" t="str">
        <f aca="false">IF($B68="","",COUNTIFS($C$5:$C$204,$C68,$P$5:$P$204,$P68,$U$5:$U$204,"&gt;"&amp;$U68)+1)</f>
        <v/>
      </c>
      <c r="W68" s="10" t="str">
        <f aca="false">IF($B68="","",COUNTIFS($C$5:$C$204,$C68,$P$5:$P$204,$P68))</f>
        <v/>
      </c>
      <c r="X68" s="15" t="str">
        <f aca="false">IF($B68="","",$V68/$W68)</f>
        <v/>
      </c>
      <c r="Y68" s="10" t="str">
        <f aca="false">IF($B68="","",IF(AND($M68="Có",$J68&lt;=Nguong!$B$16,$K68&lt;=Nguong!$B$17,$L68&lt;=Nguong!$B$18,$R68&lt;=INDEX(Nguong!$B$4:$B$8,$D68)),"Đạt","Không đạt"))</f>
        <v/>
      </c>
      <c r="Z68" s="16" t="str">
        <f aca="false">IF($B68="","",IF($D68&gt;=5,"-",INDEX(IF($C68="Supporter",Nguong!$E$4:$E$8,Nguong!$C$4:$C$8),$D68+1)))</f>
        <v/>
      </c>
      <c r="AA68" s="16" t="str">
        <f aca="false">IF($B68="","",INDEX(IF($C68="Supporter",Nguong!$F$4:$F$8,Nguong!$D$4:$D$8),$D68))</f>
        <v/>
      </c>
      <c r="AB68" s="17" t="str">
        <f aca="false">IF($B68="","",IF($Y68="Không đạt",IF($D68=1,"Không đạt ĐK cần – SM/GĐKV xem xét","Xuống Level "&amp;($D68-1)&amp;" (không đạt ĐK cần)"),IF(AND($D68&lt;5,$Z68&lt;&gt;"-",$X68&lt;=$Z68,$N68="Có",$O68="Có"),"Lên Level "&amp;($D68+1),IF($X68&lt;=$AA68,"Giữ Level "&amp;$D68,"Xuống Level "&amp;($D68-1)&amp;" (ngoài ngưỡng giữ)"))))</f>
        <v/>
      </c>
    </row>
    <row r="69" customFormat="false" ht="15" hidden="false" customHeight="false" outlineLevel="0" collapsed="false">
      <c r="A69" s="7"/>
      <c r="B69" s="7"/>
      <c r="C69" s="8"/>
      <c r="D69" s="8"/>
      <c r="E69" s="8"/>
      <c r="F69" s="9"/>
      <c r="G69" s="9"/>
      <c r="H69" s="9"/>
      <c r="I69" s="9"/>
      <c r="J69" s="9"/>
      <c r="K69" s="9"/>
      <c r="L69" s="9"/>
      <c r="M69" s="8"/>
      <c r="N69" s="8"/>
      <c r="O69" s="8"/>
      <c r="P69" s="10" t="str">
        <f aca="false">IF($B69="","",IF(AND($C69="Supporter",$E69=4),3,$E69))</f>
        <v/>
      </c>
      <c r="Q69" s="11" t="str">
        <f aca="false">IF($B69="","",IF($G69&gt;0,$H69/$G69,0))</f>
        <v/>
      </c>
      <c r="R69" s="12" t="str">
        <f aca="false">IF($B69="","",IF($G69&gt;0,$I69/$G69,0))</f>
        <v/>
      </c>
      <c r="S69" s="13" t="str">
        <f aca="false">IF($B69="","",IF($W69&lt;=1,100,COUNTIFS($C$5:$C$204,$C69,$P$5:$P$204,$P69,$F$5:$F$204,"&lt;"&amp;$F69)/($W69-1)*100))</f>
        <v/>
      </c>
      <c r="T69" s="13" t="str">
        <f aca="false">IF($B69="","",IF($C69="Supporter","-",IF($W69&lt;=1,100,COUNTIFS($C$5:$C$204,$C69,$P$5:$P$204,$P69,$Q$5:$Q$204,"&lt;"&amp;$Q69)/($W69-1)*100)))</f>
        <v/>
      </c>
      <c r="U69" s="14" t="str">
        <f aca="false">IF($B69="","",IF($C69="Supporter",$S69,0.85*$S69+0.15*$T69))</f>
        <v/>
      </c>
      <c r="V69" s="10" t="str">
        <f aca="false">IF($B69="","",COUNTIFS($C$5:$C$204,$C69,$P$5:$P$204,$P69,$U$5:$U$204,"&gt;"&amp;$U69)+1)</f>
        <v/>
      </c>
      <c r="W69" s="10" t="str">
        <f aca="false">IF($B69="","",COUNTIFS($C$5:$C$204,$C69,$P$5:$P$204,$P69))</f>
        <v/>
      </c>
      <c r="X69" s="15" t="str">
        <f aca="false">IF($B69="","",$V69/$W69)</f>
        <v/>
      </c>
      <c r="Y69" s="10" t="str">
        <f aca="false">IF($B69="","",IF(AND($M69="Có",$J69&lt;=Nguong!$B$16,$K69&lt;=Nguong!$B$17,$L69&lt;=Nguong!$B$18,$R69&lt;=INDEX(Nguong!$B$4:$B$8,$D69)),"Đạt","Không đạt"))</f>
        <v/>
      </c>
      <c r="Z69" s="16" t="str">
        <f aca="false">IF($B69="","",IF($D69&gt;=5,"-",INDEX(IF($C69="Supporter",Nguong!$E$4:$E$8,Nguong!$C$4:$C$8),$D69+1)))</f>
        <v/>
      </c>
      <c r="AA69" s="16" t="str">
        <f aca="false">IF($B69="","",INDEX(IF($C69="Supporter",Nguong!$F$4:$F$8,Nguong!$D$4:$D$8),$D69))</f>
        <v/>
      </c>
      <c r="AB69" s="17" t="str">
        <f aca="false">IF($B69="","",IF($Y69="Không đạt",IF($D69=1,"Không đạt ĐK cần – SM/GĐKV xem xét","Xuống Level "&amp;($D69-1)&amp;" (không đạt ĐK cần)"),IF(AND($D69&lt;5,$Z69&lt;&gt;"-",$X69&lt;=$Z69,$N69="Có",$O69="Có"),"Lên Level "&amp;($D69+1),IF($X69&lt;=$AA69,"Giữ Level "&amp;$D69,"Xuống Level "&amp;($D69-1)&amp;" (ngoài ngưỡng giữ)"))))</f>
        <v/>
      </c>
    </row>
    <row r="70" customFormat="false" ht="15" hidden="false" customHeight="false" outlineLevel="0" collapsed="false">
      <c r="A70" s="7"/>
      <c r="B70" s="7"/>
      <c r="C70" s="8"/>
      <c r="D70" s="8"/>
      <c r="E70" s="8"/>
      <c r="F70" s="9"/>
      <c r="G70" s="9"/>
      <c r="H70" s="9"/>
      <c r="I70" s="9"/>
      <c r="J70" s="9"/>
      <c r="K70" s="9"/>
      <c r="L70" s="9"/>
      <c r="M70" s="8"/>
      <c r="N70" s="8"/>
      <c r="O70" s="8"/>
      <c r="P70" s="10" t="str">
        <f aca="false">IF($B70="","",IF(AND($C70="Supporter",$E70=4),3,$E70))</f>
        <v/>
      </c>
      <c r="Q70" s="11" t="str">
        <f aca="false">IF($B70="","",IF($G70&gt;0,$H70/$G70,0))</f>
        <v/>
      </c>
      <c r="R70" s="12" t="str">
        <f aca="false">IF($B70="","",IF($G70&gt;0,$I70/$G70,0))</f>
        <v/>
      </c>
      <c r="S70" s="13" t="str">
        <f aca="false">IF($B70="","",IF($W70&lt;=1,100,COUNTIFS($C$5:$C$204,$C70,$P$5:$P$204,$P70,$F$5:$F$204,"&lt;"&amp;$F70)/($W70-1)*100))</f>
        <v/>
      </c>
      <c r="T70" s="13" t="str">
        <f aca="false">IF($B70="","",IF($C70="Supporter","-",IF($W70&lt;=1,100,COUNTIFS($C$5:$C$204,$C70,$P$5:$P$204,$P70,$Q$5:$Q$204,"&lt;"&amp;$Q70)/($W70-1)*100)))</f>
        <v/>
      </c>
      <c r="U70" s="14" t="str">
        <f aca="false">IF($B70="","",IF($C70="Supporter",$S70,0.85*$S70+0.15*$T70))</f>
        <v/>
      </c>
      <c r="V70" s="10" t="str">
        <f aca="false">IF($B70="","",COUNTIFS($C$5:$C$204,$C70,$P$5:$P$204,$P70,$U$5:$U$204,"&gt;"&amp;$U70)+1)</f>
        <v/>
      </c>
      <c r="W70" s="10" t="str">
        <f aca="false">IF($B70="","",COUNTIFS($C$5:$C$204,$C70,$P$5:$P$204,$P70))</f>
        <v/>
      </c>
      <c r="X70" s="15" t="str">
        <f aca="false">IF($B70="","",$V70/$W70)</f>
        <v/>
      </c>
      <c r="Y70" s="10" t="str">
        <f aca="false">IF($B70="","",IF(AND($M70="Có",$J70&lt;=Nguong!$B$16,$K70&lt;=Nguong!$B$17,$L70&lt;=Nguong!$B$18,$R70&lt;=INDEX(Nguong!$B$4:$B$8,$D70)),"Đạt","Không đạt"))</f>
        <v/>
      </c>
      <c r="Z70" s="16" t="str">
        <f aca="false">IF($B70="","",IF($D70&gt;=5,"-",INDEX(IF($C70="Supporter",Nguong!$E$4:$E$8,Nguong!$C$4:$C$8),$D70+1)))</f>
        <v/>
      </c>
      <c r="AA70" s="16" t="str">
        <f aca="false">IF($B70="","",INDEX(IF($C70="Supporter",Nguong!$F$4:$F$8,Nguong!$D$4:$D$8),$D70))</f>
        <v/>
      </c>
      <c r="AB70" s="17" t="str">
        <f aca="false">IF($B70="","",IF($Y70="Không đạt",IF($D70=1,"Không đạt ĐK cần – SM/GĐKV xem xét","Xuống Level "&amp;($D70-1)&amp;" (không đạt ĐK cần)"),IF(AND($D70&lt;5,$Z70&lt;&gt;"-",$X70&lt;=$Z70,$N70="Có",$O70="Có"),"Lên Level "&amp;($D70+1),IF($X70&lt;=$AA70,"Giữ Level "&amp;$D70,"Xuống Level "&amp;($D70-1)&amp;" (ngoài ngưỡng giữ)"))))</f>
        <v/>
      </c>
    </row>
    <row r="71" customFormat="false" ht="15" hidden="false" customHeight="false" outlineLevel="0" collapsed="false">
      <c r="A71" s="7"/>
      <c r="B71" s="7"/>
      <c r="C71" s="8"/>
      <c r="D71" s="8"/>
      <c r="E71" s="8"/>
      <c r="F71" s="9"/>
      <c r="G71" s="9"/>
      <c r="H71" s="9"/>
      <c r="I71" s="9"/>
      <c r="J71" s="9"/>
      <c r="K71" s="9"/>
      <c r="L71" s="9"/>
      <c r="M71" s="8"/>
      <c r="N71" s="8"/>
      <c r="O71" s="8"/>
      <c r="P71" s="10" t="str">
        <f aca="false">IF($B71="","",IF(AND($C71="Supporter",$E71=4),3,$E71))</f>
        <v/>
      </c>
      <c r="Q71" s="11" t="str">
        <f aca="false">IF($B71="","",IF($G71&gt;0,$H71/$G71,0))</f>
        <v/>
      </c>
      <c r="R71" s="12" t="str">
        <f aca="false">IF($B71="","",IF($G71&gt;0,$I71/$G71,0))</f>
        <v/>
      </c>
      <c r="S71" s="13" t="str">
        <f aca="false">IF($B71="","",IF($W71&lt;=1,100,COUNTIFS($C$5:$C$204,$C71,$P$5:$P$204,$P71,$F$5:$F$204,"&lt;"&amp;$F71)/($W71-1)*100))</f>
        <v/>
      </c>
      <c r="T71" s="13" t="str">
        <f aca="false">IF($B71="","",IF($C71="Supporter","-",IF($W71&lt;=1,100,COUNTIFS($C$5:$C$204,$C71,$P$5:$P$204,$P71,$Q$5:$Q$204,"&lt;"&amp;$Q71)/($W71-1)*100)))</f>
        <v/>
      </c>
      <c r="U71" s="14" t="str">
        <f aca="false">IF($B71="","",IF($C71="Supporter",$S71,0.85*$S71+0.15*$T71))</f>
        <v/>
      </c>
      <c r="V71" s="10" t="str">
        <f aca="false">IF($B71="","",COUNTIFS($C$5:$C$204,$C71,$P$5:$P$204,$P71,$U$5:$U$204,"&gt;"&amp;$U71)+1)</f>
        <v/>
      </c>
      <c r="W71" s="10" t="str">
        <f aca="false">IF($B71="","",COUNTIFS($C$5:$C$204,$C71,$P$5:$P$204,$P71))</f>
        <v/>
      </c>
      <c r="X71" s="15" t="str">
        <f aca="false">IF($B71="","",$V71/$W71)</f>
        <v/>
      </c>
      <c r="Y71" s="10" t="str">
        <f aca="false">IF($B71="","",IF(AND($M71="Có",$J71&lt;=Nguong!$B$16,$K71&lt;=Nguong!$B$17,$L71&lt;=Nguong!$B$18,$R71&lt;=INDEX(Nguong!$B$4:$B$8,$D71)),"Đạt","Không đạt"))</f>
        <v/>
      </c>
      <c r="Z71" s="16" t="str">
        <f aca="false">IF($B71="","",IF($D71&gt;=5,"-",INDEX(IF($C71="Supporter",Nguong!$E$4:$E$8,Nguong!$C$4:$C$8),$D71+1)))</f>
        <v/>
      </c>
      <c r="AA71" s="16" t="str">
        <f aca="false">IF($B71="","",INDEX(IF($C71="Supporter",Nguong!$F$4:$F$8,Nguong!$D$4:$D$8),$D71))</f>
        <v/>
      </c>
      <c r="AB71" s="17" t="str">
        <f aca="false">IF($B71="","",IF($Y71="Không đạt",IF($D71=1,"Không đạt ĐK cần – SM/GĐKV xem xét","Xuống Level "&amp;($D71-1)&amp;" (không đạt ĐK cần)"),IF(AND($D71&lt;5,$Z71&lt;&gt;"-",$X71&lt;=$Z71,$N71="Có",$O71="Có"),"Lên Level "&amp;($D71+1),IF($X71&lt;=$AA71,"Giữ Level "&amp;$D71,"Xuống Level "&amp;($D71-1)&amp;" (ngoài ngưỡng giữ)"))))</f>
        <v/>
      </c>
    </row>
    <row r="72" customFormat="false" ht="15" hidden="false" customHeight="false" outlineLevel="0" collapsed="false">
      <c r="A72" s="7"/>
      <c r="B72" s="7"/>
      <c r="C72" s="8"/>
      <c r="D72" s="8"/>
      <c r="E72" s="8"/>
      <c r="F72" s="9"/>
      <c r="G72" s="9"/>
      <c r="H72" s="9"/>
      <c r="I72" s="9"/>
      <c r="J72" s="9"/>
      <c r="K72" s="9"/>
      <c r="L72" s="9"/>
      <c r="M72" s="8"/>
      <c r="N72" s="8"/>
      <c r="O72" s="8"/>
      <c r="P72" s="10" t="str">
        <f aca="false">IF($B72="","",IF(AND($C72="Supporter",$E72=4),3,$E72))</f>
        <v/>
      </c>
      <c r="Q72" s="11" t="str">
        <f aca="false">IF($B72="","",IF($G72&gt;0,$H72/$G72,0))</f>
        <v/>
      </c>
      <c r="R72" s="12" t="str">
        <f aca="false">IF($B72="","",IF($G72&gt;0,$I72/$G72,0))</f>
        <v/>
      </c>
      <c r="S72" s="13" t="str">
        <f aca="false">IF($B72="","",IF($W72&lt;=1,100,COUNTIFS($C$5:$C$204,$C72,$P$5:$P$204,$P72,$F$5:$F$204,"&lt;"&amp;$F72)/($W72-1)*100))</f>
        <v/>
      </c>
      <c r="T72" s="13" t="str">
        <f aca="false">IF($B72="","",IF($C72="Supporter","-",IF($W72&lt;=1,100,COUNTIFS($C$5:$C$204,$C72,$P$5:$P$204,$P72,$Q$5:$Q$204,"&lt;"&amp;$Q72)/($W72-1)*100)))</f>
        <v/>
      </c>
      <c r="U72" s="14" t="str">
        <f aca="false">IF($B72="","",IF($C72="Supporter",$S72,0.85*$S72+0.15*$T72))</f>
        <v/>
      </c>
      <c r="V72" s="10" t="str">
        <f aca="false">IF($B72="","",COUNTIFS($C$5:$C$204,$C72,$P$5:$P$204,$P72,$U$5:$U$204,"&gt;"&amp;$U72)+1)</f>
        <v/>
      </c>
      <c r="W72" s="10" t="str">
        <f aca="false">IF($B72="","",COUNTIFS($C$5:$C$204,$C72,$P$5:$P$204,$P72))</f>
        <v/>
      </c>
      <c r="X72" s="15" t="str">
        <f aca="false">IF($B72="","",$V72/$W72)</f>
        <v/>
      </c>
      <c r="Y72" s="10" t="str">
        <f aca="false">IF($B72="","",IF(AND($M72="Có",$J72&lt;=Nguong!$B$16,$K72&lt;=Nguong!$B$17,$L72&lt;=Nguong!$B$18,$R72&lt;=INDEX(Nguong!$B$4:$B$8,$D72)),"Đạt","Không đạt"))</f>
        <v/>
      </c>
      <c r="Z72" s="16" t="str">
        <f aca="false">IF($B72="","",IF($D72&gt;=5,"-",INDEX(IF($C72="Supporter",Nguong!$E$4:$E$8,Nguong!$C$4:$C$8),$D72+1)))</f>
        <v/>
      </c>
      <c r="AA72" s="16" t="str">
        <f aca="false">IF($B72="","",INDEX(IF($C72="Supporter",Nguong!$F$4:$F$8,Nguong!$D$4:$D$8),$D72))</f>
        <v/>
      </c>
      <c r="AB72" s="17" t="str">
        <f aca="false">IF($B72="","",IF($Y72="Không đạt",IF($D72=1,"Không đạt ĐK cần – SM/GĐKV xem xét","Xuống Level "&amp;($D72-1)&amp;" (không đạt ĐK cần)"),IF(AND($D72&lt;5,$Z72&lt;&gt;"-",$X72&lt;=$Z72,$N72="Có",$O72="Có"),"Lên Level "&amp;($D72+1),IF($X72&lt;=$AA72,"Giữ Level "&amp;$D72,"Xuống Level "&amp;($D72-1)&amp;" (ngoài ngưỡng giữ)"))))</f>
        <v/>
      </c>
    </row>
    <row r="73" customFormat="false" ht="15" hidden="false" customHeight="false" outlineLevel="0" collapsed="false">
      <c r="A73" s="7"/>
      <c r="B73" s="7"/>
      <c r="C73" s="8"/>
      <c r="D73" s="8"/>
      <c r="E73" s="8"/>
      <c r="F73" s="9"/>
      <c r="G73" s="9"/>
      <c r="H73" s="9"/>
      <c r="I73" s="9"/>
      <c r="J73" s="9"/>
      <c r="K73" s="9"/>
      <c r="L73" s="9"/>
      <c r="M73" s="8"/>
      <c r="N73" s="8"/>
      <c r="O73" s="8"/>
      <c r="P73" s="10" t="str">
        <f aca="false">IF($B73="","",IF(AND($C73="Supporter",$E73=4),3,$E73))</f>
        <v/>
      </c>
      <c r="Q73" s="11" t="str">
        <f aca="false">IF($B73="","",IF($G73&gt;0,$H73/$G73,0))</f>
        <v/>
      </c>
      <c r="R73" s="12" t="str">
        <f aca="false">IF($B73="","",IF($G73&gt;0,$I73/$G73,0))</f>
        <v/>
      </c>
      <c r="S73" s="13" t="str">
        <f aca="false">IF($B73="","",IF($W73&lt;=1,100,COUNTIFS($C$5:$C$204,$C73,$P$5:$P$204,$P73,$F$5:$F$204,"&lt;"&amp;$F73)/($W73-1)*100))</f>
        <v/>
      </c>
      <c r="T73" s="13" t="str">
        <f aca="false">IF($B73="","",IF($C73="Supporter","-",IF($W73&lt;=1,100,COUNTIFS($C$5:$C$204,$C73,$P$5:$P$204,$P73,$Q$5:$Q$204,"&lt;"&amp;$Q73)/($W73-1)*100)))</f>
        <v/>
      </c>
      <c r="U73" s="14" t="str">
        <f aca="false">IF($B73="","",IF($C73="Supporter",$S73,0.85*$S73+0.15*$T73))</f>
        <v/>
      </c>
      <c r="V73" s="10" t="str">
        <f aca="false">IF($B73="","",COUNTIFS($C$5:$C$204,$C73,$P$5:$P$204,$P73,$U$5:$U$204,"&gt;"&amp;$U73)+1)</f>
        <v/>
      </c>
      <c r="W73" s="10" t="str">
        <f aca="false">IF($B73="","",COUNTIFS($C$5:$C$204,$C73,$P$5:$P$204,$P73))</f>
        <v/>
      </c>
      <c r="X73" s="15" t="str">
        <f aca="false">IF($B73="","",$V73/$W73)</f>
        <v/>
      </c>
      <c r="Y73" s="10" t="str">
        <f aca="false">IF($B73="","",IF(AND($M73="Có",$J73&lt;=Nguong!$B$16,$K73&lt;=Nguong!$B$17,$L73&lt;=Nguong!$B$18,$R73&lt;=INDEX(Nguong!$B$4:$B$8,$D73)),"Đạt","Không đạt"))</f>
        <v/>
      </c>
      <c r="Z73" s="16" t="str">
        <f aca="false">IF($B73="","",IF($D73&gt;=5,"-",INDEX(IF($C73="Supporter",Nguong!$E$4:$E$8,Nguong!$C$4:$C$8),$D73+1)))</f>
        <v/>
      </c>
      <c r="AA73" s="16" t="str">
        <f aca="false">IF($B73="","",INDEX(IF($C73="Supporter",Nguong!$F$4:$F$8,Nguong!$D$4:$D$8),$D73))</f>
        <v/>
      </c>
      <c r="AB73" s="17" t="str">
        <f aca="false">IF($B73="","",IF($Y73="Không đạt",IF($D73=1,"Không đạt ĐK cần – SM/GĐKV xem xét","Xuống Level "&amp;($D73-1)&amp;" (không đạt ĐK cần)"),IF(AND($D73&lt;5,$Z73&lt;&gt;"-",$X73&lt;=$Z73,$N73="Có",$O73="Có"),"Lên Level "&amp;($D73+1),IF($X73&lt;=$AA73,"Giữ Level "&amp;$D73,"Xuống Level "&amp;($D73-1)&amp;" (ngoài ngưỡng giữ)"))))</f>
        <v/>
      </c>
    </row>
    <row r="74" customFormat="false" ht="15" hidden="false" customHeight="false" outlineLevel="0" collapsed="false">
      <c r="A74" s="7"/>
      <c r="B74" s="7"/>
      <c r="C74" s="8"/>
      <c r="D74" s="8"/>
      <c r="E74" s="8"/>
      <c r="F74" s="9"/>
      <c r="G74" s="9"/>
      <c r="H74" s="9"/>
      <c r="I74" s="9"/>
      <c r="J74" s="9"/>
      <c r="K74" s="9"/>
      <c r="L74" s="9"/>
      <c r="M74" s="8"/>
      <c r="N74" s="8"/>
      <c r="O74" s="8"/>
      <c r="P74" s="10" t="str">
        <f aca="false">IF($B74="","",IF(AND($C74="Supporter",$E74=4),3,$E74))</f>
        <v/>
      </c>
      <c r="Q74" s="11" t="str">
        <f aca="false">IF($B74="","",IF($G74&gt;0,$H74/$G74,0))</f>
        <v/>
      </c>
      <c r="R74" s="12" t="str">
        <f aca="false">IF($B74="","",IF($G74&gt;0,$I74/$G74,0))</f>
        <v/>
      </c>
      <c r="S74" s="13" t="str">
        <f aca="false">IF($B74="","",IF($W74&lt;=1,100,COUNTIFS($C$5:$C$204,$C74,$P$5:$P$204,$P74,$F$5:$F$204,"&lt;"&amp;$F74)/($W74-1)*100))</f>
        <v/>
      </c>
      <c r="T74" s="13" t="str">
        <f aca="false">IF($B74="","",IF($C74="Supporter","-",IF($W74&lt;=1,100,COUNTIFS($C$5:$C$204,$C74,$P$5:$P$204,$P74,$Q$5:$Q$204,"&lt;"&amp;$Q74)/($W74-1)*100)))</f>
        <v/>
      </c>
      <c r="U74" s="14" t="str">
        <f aca="false">IF($B74="","",IF($C74="Supporter",$S74,0.85*$S74+0.15*$T74))</f>
        <v/>
      </c>
      <c r="V74" s="10" t="str">
        <f aca="false">IF($B74="","",COUNTIFS($C$5:$C$204,$C74,$P$5:$P$204,$P74,$U$5:$U$204,"&gt;"&amp;$U74)+1)</f>
        <v/>
      </c>
      <c r="W74" s="10" t="str">
        <f aca="false">IF($B74="","",COUNTIFS($C$5:$C$204,$C74,$P$5:$P$204,$P74))</f>
        <v/>
      </c>
      <c r="X74" s="15" t="str">
        <f aca="false">IF($B74="","",$V74/$W74)</f>
        <v/>
      </c>
      <c r="Y74" s="10" t="str">
        <f aca="false">IF($B74="","",IF(AND($M74="Có",$J74&lt;=Nguong!$B$16,$K74&lt;=Nguong!$B$17,$L74&lt;=Nguong!$B$18,$R74&lt;=INDEX(Nguong!$B$4:$B$8,$D74)),"Đạt","Không đạt"))</f>
        <v/>
      </c>
      <c r="Z74" s="16" t="str">
        <f aca="false">IF($B74="","",IF($D74&gt;=5,"-",INDEX(IF($C74="Supporter",Nguong!$E$4:$E$8,Nguong!$C$4:$C$8),$D74+1)))</f>
        <v/>
      </c>
      <c r="AA74" s="16" t="str">
        <f aca="false">IF($B74="","",INDEX(IF($C74="Supporter",Nguong!$F$4:$F$8,Nguong!$D$4:$D$8),$D74))</f>
        <v/>
      </c>
      <c r="AB74" s="17" t="str">
        <f aca="false">IF($B74="","",IF($Y74="Không đạt",IF($D74=1,"Không đạt ĐK cần – SM/GĐKV xem xét","Xuống Level "&amp;($D74-1)&amp;" (không đạt ĐK cần)"),IF(AND($D74&lt;5,$Z74&lt;&gt;"-",$X74&lt;=$Z74,$N74="Có",$O74="Có"),"Lên Level "&amp;($D74+1),IF($X74&lt;=$AA74,"Giữ Level "&amp;$D74,"Xuống Level "&amp;($D74-1)&amp;" (ngoài ngưỡng giữ)"))))</f>
        <v/>
      </c>
    </row>
    <row r="75" customFormat="false" ht="15" hidden="false" customHeight="false" outlineLevel="0" collapsed="false">
      <c r="A75" s="7"/>
      <c r="B75" s="7"/>
      <c r="C75" s="8"/>
      <c r="D75" s="8"/>
      <c r="E75" s="8"/>
      <c r="F75" s="9"/>
      <c r="G75" s="9"/>
      <c r="H75" s="9"/>
      <c r="I75" s="9"/>
      <c r="J75" s="9"/>
      <c r="K75" s="9"/>
      <c r="L75" s="9"/>
      <c r="M75" s="8"/>
      <c r="N75" s="8"/>
      <c r="O75" s="8"/>
      <c r="P75" s="10" t="str">
        <f aca="false">IF($B75="","",IF(AND($C75="Supporter",$E75=4),3,$E75))</f>
        <v/>
      </c>
      <c r="Q75" s="11" t="str">
        <f aca="false">IF($B75="","",IF($G75&gt;0,$H75/$G75,0))</f>
        <v/>
      </c>
      <c r="R75" s="12" t="str">
        <f aca="false">IF($B75="","",IF($G75&gt;0,$I75/$G75,0))</f>
        <v/>
      </c>
      <c r="S75" s="13" t="str">
        <f aca="false">IF($B75="","",IF($W75&lt;=1,100,COUNTIFS($C$5:$C$204,$C75,$P$5:$P$204,$P75,$F$5:$F$204,"&lt;"&amp;$F75)/($W75-1)*100))</f>
        <v/>
      </c>
      <c r="T75" s="13" t="str">
        <f aca="false">IF($B75="","",IF($C75="Supporter","-",IF($W75&lt;=1,100,COUNTIFS($C$5:$C$204,$C75,$P$5:$P$204,$P75,$Q$5:$Q$204,"&lt;"&amp;$Q75)/($W75-1)*100)))</f>
        <v/>
      </c>
      <c r="U75" s="14" t="str">
        <f aca="false">IF($B75="","",IF($C75="Supporter",$S75,0.85*$S75+0.15*$T75))</f>
        <v/>
      </c>
      <c r="V75" s="10" t="str">
        <f aca="false">IF($B75="","",COUNTIFS($C$5:$C$204,$C75,$P$5:$P$204,$P75,$U$5:$U$204,"&gt;"&amp;$U75)+1)</f>
        <v/>
      </c>
      <c r="W75" s="10" t="str">
        <f aca="false">IF($B75="","",COUNTIFS($C$5:$C$204,$C75,$P$5:$P$204,$P75))</f>
        <v/>
      </c>
      <c r="X75" s="15" t="str">
        <f aca="false">IF($B75="","",$V75/$W75)</f>
        <v/>
      </c>
      <c r="Y75" s="10" t="str">
        <f aca="false">IF($B75="","",IF(AND($M75="Có",$J75&lt;=Nguong!$B$16,$K75&lt;=Nguong!$B$17,$L75&lt;=Nguong!$B$18,$R75&lt;=INDEX(Nguong!$B$4:$B$8,$D75)),"Đạt","Không đạt"))</f>
        <v/>
      </c>
      <c r="Z75" s="16" t="str">
        <f aca="false">IF($B75="","",IF($D75&gt;=5,"-",INDEX(IF($C75="Supporter",Nguong!$E$4:$E$8,Nguong!$C$4:$C$8),$D75+1)))</f>
        <v/>
      </c>
      <c r="AA75" s="16" t="str">
        <f aca="false">IF($B75="","",INDEX(IF($C75="Supporter",Nguong!$F$4:$F$8,Nguong!$D$4:$D$8),$D75))</f>
        <v/>
      </c>
      <c r="AB75" s="17" t="str">
        <f aca="false">IF($B75="","",IF($Y75="Không đạt",IF($D75=1,"Không đạt ĐK cần – SM/GĐKV xem xét","Xuống Level "&amp;($D75-1)&amp;" (không đạt ĐK cần)"),IF(AND($D75&lt;5,$Z75&lt;&gt;"-",$X75&lt;=$Z75,$N75="Có",$O75="Có"),"Lên Level "&amp;($D75+1),IF($X75&lt;=$AA75,"Giữ Level "&amp;$D75,"Xuống Level "&amp;($D75-1)&amp;" (ngoài ngưỡng giữ)"))))</f>
        <v/>
      </c>
    </row>
    <row r="76" customFormat="false" ht="15" hidden="false" customHeight="false" outlineLevel="0" collapsed="false">
      <c r="A76" s="7"/>
      <c r="B76" s="7"/>
      <c r="C76" s="8"/>
      <c r="D76" s="8"/>
      <c r="E76" s="8"/>
      <c r="F76" s="9"/>
      <c r="G76" s="9"/>
      <c r="H76" s="9"/>
      <c r="I76" s="9"/>
      <c r="J76" s="9"/>
      <c r="K76" s="9"/>
      <c r="L76" s="9"/>
      <c r="M76" s="8"/>
      <c r="N76" s="8"/>
      <c r="O76" s="8"/>
      <c r="P76" s="10" t="str">
        <f aca="false">IF($B76="","",IF(AND($C76="Supporter",$E76=4),3,$E76))</f>
        <v/>
      </c>
      <c r="Q76" s="11" t="str">
        <f aca="false">IF($B76="","",IF($G76&gt;0,$H76/$G76,0))</f>
        <v/>
      </c>
      <c r="R76" s="12" t="str">
        <f aca="false">IF($B76="","",IF($G76&gt;0,$I76/$G76,0))</f>
        <v/>
      </c>
      <c r="S76" s="13" t="str">
        <f aca="false">IF($B76="","",IF($W76&lt;=1,100,COUNTIFS($C$5:$C$204,$C76,$P$5:$P$204,$P76,$F$5:$F$204,"&lt;"&amp;$F76)/($W76-1)*100))</f>
        <v/>
      </c>
      <c r="T76" s="13" t="str">
        <f aca="false">IF($B76="","",IF($C76="Supporter","-",IF($W76&lt;=1,100,COUNTIFS($C$5:$C$204,$C76,$P$5:$P$204,$P76,$Q$5:$Q$204,"&lt;"&amp;$Q76)/($W76-1)*100)))</f>
        <v/>
      </c>
      <c r="U76" s="14" t="str">
        <f aca="false">IF($B76="","",IF($C76="Supporter",$S76,0.85*$S76+0.15*$T76))</f>
        <v/>
      </c>
      <c r="V76" s="10" t="str">
        <f aca="false">IF($B76="","",COUNTIFS($C$5:$C$204,$C76,$P$5:$P$204,$P76,$U$5:$U$204,"&gt;"&amp;$U76)+1)</f>
        <v/>
      </c>
      <c r="W76" s="10" t="str">
        <f aca="false">IF($B76="","",COUNTIFS($C$5:$C$204,$C76,$P$5:$P$204,$P76))</f>
        <v/>
      </c>
      <c r="X76" s="15" t="str">
        <f aca="false">IF($B76="","",$V76/$W76)</f>
        <v/>
      </c>
      <c r="Y76" s="10" t="str">
        <f aca="false">IF($B76="","",IF(AND($M76="Có",$J76&lt;=Nguong!$B$16,$K76&lt;=Nguong!$B$17,$L76&lt;=Nguong!$B$18,$R76&lt;=INDEX(Nguong!$B$4:$B$8,$D76)),"Đạt","Không đạt"))</f>
        <v/>
      </c>
      <c r="Z76" s="16" t="str">
        <f aca="false">IF($B76="","",IF($D76&gt;=5,"-",INDEX(IF($C76="Supporter",Nguong!$E$4:$E$8,Nguong!$C$4:$C$8),$D76+1)))</f>
        <v/>
      </c>
      <c r="AA76" s="16" t="str">
        <f aca="false">IF($B76="","",INDEX(IF($C76="Supporter",Nguong!$F$4:$F$8,Nguong!$D$4:$D$8),$D76))</f>
        <v/>
      </c>
      <c r="AB76" s="17" t="str">
        <f aca="false">IF($B76="","",IF($Y76="Không đạt",IF($D76=1,"Không đạt ĐK cần – SM/GĐKV xem xét","Xuống Level "&amp;($D76-1)&amp;" (không đạt ĐK cần)"),IF(AND($D76&lt;5,$Z76&lt;&gt;"-",$X76&lt;=$Z76,$N76="Có",$O76="Có"),"Lên Level "&amp;($D76+1),IF($X76&lt;=$AA76,"Giữ Level "&amp;$D76,"Xuống Level "&amp;($D76-1)&amp;" (ngoài ngưỡng giữ)"))))</f>
        <v/>
      </c>
    </row>
    <row r="77" customFormat="false" ht="15" hidden="false" customHeight="false" outlineLevel="0" collapsed="false">
      <c r="A77" s="7"/>
      <c r="B77" s="7"/>
      <c r="C77" s="8"/>
      <c r="D77" s="8"/>
      <c r="E77" s="8"/>
      <c r="F77" s="9"/>
      <c r="G77" s="9"/>
      <c r="H77" s="9"/>
      <c r="I77" s="9"/>
      <c r="J77" s="9"/>
      <c r="K77" s="9"/>
      <c r="L77" s="9"/>
      <c r="M77" s="8"/>
      <c r="N77" s="8"/>
      <c r="O77" s="8"/>
      <c r="P77" s="10" t="str">
        <f aca="false">IF($B77="","",IF(AND($C77="Supporter",$E77=4),3,$E77))</f>
        <v/>
      </c>
      <c r="Q77" s="11" t="str">
        <f aca="false">IF($B77="","",IF($G77&gt;0,$H77/$G77,0))</f>
        <v/>
      </c>
      <c r="R77" s="12" t="str">
        <f aca="false">IF($B77="","",IF($G77&gt;0,$I77/$G77,0))</f>
        <v/>
      </c>
      <c r="S77" s="13" t="str">
        <f aca="false">IF($B77="","",IF($W77&lt;=1,100,COUNTIFS($C$5:$C$204,$C77,$P$5:$P$204,$P77,$F$5:$F$204,"&lt;"&amp;$F77)/($W77-1)*100))</f>
        <v/>
      </c>
      <c r="T77" s="13" t="str">
        <f aca="false">IF($B77="","",IF($C77="Supporter","-",IF($W77&lt;=1,100,COUNTIFS($C$5:$C$204,$C77,$P$5:$P$204,$P77,$Q$5:$Q$204,"&lt;"&amp;$Q77)/($W77-1)*100)))</f>
        <v/>
      </c>
      <c r="U77" s="14" t="str">
        <f aca="false">IF($B77="","",IF($C77="Supporter",$S77,0.85*$S77+0.15*$T77))</f>
        <v/>
      </c>
      <c r="V77" s="10" t="str">
        <f aca="false">IF($B77="","",COUNTIFS($C$5:$C$204,$C77,$P$5:$P$204,$P77,$U$5:$U$204,"&gt;"&amp;$U77)+1)</f>
        <v/>
      </c>
      <c r="W77" s="10" t="str">
        <f aca="false">IF($B77="","",COUNTIFS($C$5:$C$204,$C77,$P$5:$P$204,$P77))</f>
        <v/>
      </c>
      <c r="X77" s="15" t="str">
        <f aca="false">IF($B77="","",$V77/$W77)</f>
        <v/>
      </c>
      <c r="Y77" s="10" t="str">
        <f aca="false">IF($B77="","",IF(AND($M77="Có",$J77&lt;=Nguong!$B$16,$K77&lt;=Nguong!$B$17,$L77&lt;=Nguong!$B$18,$R77&lt;=INDEX(Nguong!$B$4:$B$8,$D77)),"Đạt","Không đạt"))</f>
        <v/>
      </c>
      <c r="Z77" s="16" t="str">
        <f aca="false">IF($B77="","",IF($D77&gt;=5,"-",INDEX(IF($C77="Supporter",Nguong!$E$4:$E$8,Nguong!$C$4:$C$8),$D77+1)))</f>
        <v/>
      </c>
      <c r="AA77" s="16" t="str">
        <f aca="false">IF($B77="","",INDEX(IF($C77="Supporter",Nguong!$F$4:$F$8,Nguong!$D$4:$D$8),$D77))</f>
        <v/>
      </c>
      <c r="AB77" s="17" t="str">
        <f aca="false">IF($B77="","",IF($Y77="Không đạt",IF($D77=1,"Không đạt ĐK cần – SM/GĐKV xem xét","Xuống Level "&amp;($D77-1)&amp;" (không đạt ĐK cần)"),IF(AND($D77&lt;5,$Z77&lt;&gt;"-",$X77&lt;=$Z77,$N77="Có",$O77="Có"),"Lên Level "&amp;($D77+1),IF($X77&lt;=$AA77,"Giữ Level "&amp;$D77,"Xuống Level "&amp;($D77-1)&amp;" (ngoài ngưỡng giữ)"))))</f>
        <v/>
      </c>
    </row>
    <row r="78" customFormat="false" ht="15" hidden="false" customHeight="false" outlineLevel="0" collapsed="false">
      <c r="A78" s="7"/>
      <c r="B78" s="7"/>
      <c r="C78" s="8"/>
      <c r="D78" s="8"/>
      <c r="E78" s="8"/>
      <c r="F78" s="9"/>
      <c r="G78" s="9"/>
      <c r="H78" s="9"/>
      <c r="I78" s="9"/>
      <c r="J78" s="9"/>
      <c r="K78" s="9"/>
      <c r="L78" s="9"/>
      <c r="M78" s="8"/>
      <c r="N78" s="8"/>
      <c r="O78" s="8"/>
      <c r="P78" s="10" t="str">
        <f aca="false">IF($B78="","",IF(AND($C78="Supporter",$E78=4),3,$E78))</f>
        <v/>
      </c>
      <c r="Q78" s="11" t="str">
        <f aca="false">IF($B78="","",IF($G78&gt;0,$H78/$G78,0))</f>
        <v/>
      </c>
      <c r="R78" s="12" t="str">
        <f aca="false">IF($B78="","",IF($G78&gt;0,$I78/$G78,0))</f>
        <v/>
      </c>
      <c r="S78" s="13" t="str">
        <f aca="false">IF($B78="","",IF($W78&lt;=1,100,COUNTIFS($C$5:$C$204,$C78,$P$5:$P$204,$P78,$F$5:$F$204,"&lt;"&amp;$F78)/($W78-1)*100))</f>
        <v/>
      </c>
      <c r="T78" s="13" t="str">
        <f aca="false">IF($B78="","",IF($C78="Supporter","-",IF($W78&lt;=1,100,COUNTIFS($C$5:$C$204,$C78,$P$5:$P$204,$P78,$Q$5:$Q$204,"&lt;"&amp;$Q78)/($W78-1)*100)))</f>
        <v/>
      </c>
      <c r="U78" s="14" t="str">
        <f aca="false">IF($B78="","",IF($C78="Supporter",$S78,0.85*$S78+0.15*$T78))</f>
        <v/>
      </c>
      <c r="V78" s="10" t="str">
        <f aca="false">IF($B78="","",COUNTIFS($C$5:$C$204,$C78,$P$5:$P$204,$P78,$U$5:$U$204,"&gt;"&amp;$U78)+1)</f>
        <v/>
      </c>
      <c r="W78" s="10" t="str">
        <f aca="false">IF($B78="","",COUNTIFS($C$5:$C$204,$C78,$P$5:$P$204,$P78))</f>
        <v/>
      </c>
      <c r="X78" s="15" t="str">
        <f aca="false">IF($B78="","",$V78/$W78)</f>
        <v/>
      </c>
      <c r="Y78" s="10" t="str">
        <f aca="false">IF($B78="","",IF(AND($M78="Có",$J78&lt;=Nguong!$B$16,$K78&lt;=Nguong!$B$17,$L78&lt;=Nguong!$B$18,$R78&lt;=INDEX(Nguong!$B$4:$B$8,$D78)),"Đạt","Không đạt"))</f>
        <v/>
      </c>
      <c r="Z78" s="16" t="str">
        <f aca="false">IF($B78="","",IF($D78&gt;=5,"-",INDEX(IF($C78="Supporter",Nguong!$E$4:$E$8,Nguong!$C$4:$C$8),$D78+1)))</f>
        <v/>
      </c>
      <c r="AA78" s="16" t="str">
        <f aca="false">IF($B78="","",INDEX(IF($C78="Supporter",Nguong!$F$4:$F$8,Nguong!$D$4:$D$8),$D78))</f>
        <v/>
      </c>
      <c r="AB78" s="17" t="str">
        <f aca="false">IF($B78="","",IF($Y78="Không đạt",IF($D78=1,"Không đạt ĐK cần – SM/GĐKV xem xét","Xuống Level "&amp;($D78-1)&amp;" (không đạt ĐK cần)"),IF(AND($D78&lt;5,$Z78&lt;&gt;"-",$X78&lt;=$Z78,$N78="Có",$O78="Có"),"Lên Level "&amp;($D78+1),IF($X78&lt;=$AA78,"Giữ Level "&amp;$D78,"Xuống Level "&amp;($D78-1)&amp;" (ngoài ngưỡng giữ)"))))</f>
        <v/>
      </c>
    </row>
    <row r="79" customFormat="false" ht="15" hidden="false" customHeight="false" outlineLevel="0" collapsed="false">
      <c r="A79" s="7"/>
      <c r="B79" s="7"/>
      <c r="C79" s="8"/>
      <c r="D79" s="8"/>
      <c r="E79" s="8"/>
      <c r="F79" s="9"/>
      <c r="G79" s="9"/>
      <c r="H79" s="9"/>
      <c r="I79" s="9"/>
      <c r="J79" s="9"/>
      <c r="K79" s="9"/>
      <c r="L79" s="9"/>
      <c r="M79" s="8"/>
      <c r="N79" s="8"/>
      <c r="O79" s="8"/>
      <c r="P79" s="10" t="str">
        <f aca="false">IF($B79="","",IF(AND($C79="Supporter",$E79=4),3,$E79))</f>
        <v/>
      </c>
      <c r="Q79" s="11" t="str">
        <f aca="false">IF($B79="","",IF($G79&gt;0,$H79/$G79,0))</f>
        <v/>
      </c>
      <c r="R79" s="12" t="str">
        <f aca="false">IF($B79="","",IF($G79&gt;0,$I79/$G79,0))</f>
        <v/>
      </c>
      <c r="S79" s="13" t="str">
        <f aca="false">IF($B79="","",IF($W79&lt;=1,100,COUNTIFS($C$5:$C$204,$C79,$P$5:$P$204,$P79,$F$5:$F$204,"&lt;"&amp;$F79)/($W79-1)*100))</f>
        <v/>
      </c>
      <c r="T79" s="13" t="str">
        <f aca="false">IF($B79="","",IF($C79="Supporter","-",IF($W79&lt;=1,100,COUNTIFS($C$5:$C$204,$C79,$P$5:$P$204,$P79,$Q$5:$Q$204,"&lt;"&amp;$Q79)/($W79-1)*100)))</f>
        <v/>
      </c>
      <c r="U79" s="14" t="str">
        <f aca="false">IF($B79="","",IF($C79="Supporter",$S79,0.85*$S79+0.15*$T79))</f>
        <v/>
      </c>
      <c r="V79" s="10" t="str">
        <f aca="false">IF($B79="","",COUNTIFS($C$5:$C$204,$C79,$P$5:$P$204,$P79,$U$5:$U$204,"&gt;"&amp;$U79)+1)</f>
        <v/>
      </c>
      <c r="W79" s="10" t="str">
        <f aca="false">IF($B79="","",COUNTIFS($C$5:$C$204,$C79,$P$5:$P$204,$P79))</f>
        <v/>
      </c>
      <c r="X79" s="15" t="str">
        <f aca="false">IF($B79="","",$V79/$W79)</f>
        <v/>
      </c>
      <c r="Y79" s="10" t="str">
        <f aca="false">IF($B79="","",IF(AND($M79="Có",$J79&lt;=Nguong!$B$16,$K79&lt;=Nguong!$B$17,$L79&lt;=Nguong!$B$18,$R79&lt;=INDEX(Nguong!$B$4:$B$8,$D79)),"Đạt","Không đạt"))</f>
        <v/>
      </c>
      <c r="Z79" s="16" t="str">
        <f aca="false">IF($B79="","",IF($D79&gt;=5,"-",INDEX(IF($C79="Supporter",Nguong!$E$4:$E$8,Nguong!$C$4:$C$8),$D79+1)))</f>
        <v/>
      </c>
      <c r="AA79" s="16" t="str">
        <f aca="false">IF($B79="","",INDEX(IF($C79="Supporter",Nguong!$F$4:$F$8,Nguong!$D$4:$D$8),$D79))</f>
        <v/>
      </c>
      <c r="AB79" s="17" t="str">
        <f aca="false">IF($B79="","",IF($Y79="Không đạt",IF($D79=1,"Không đạt ĐK cần – SM/GĐKV xem xét","Xuống Level "&amp;($D79-1)&amp;" (không đạt ĐK cần)"),IF(AND($D79&lt;5,$Z79&lt;&gt;"-",$X79&lt;=$Z79,$N79="Có",$O79="Có"),"Lên Level "&amp;($D79+1),IF($X79&lt;=$AA79,"Giữ Level "&amp;$D79,"Xuống Level "&amp;($D79-1)&amp;" (ngoài ngưỡng giữ)"))))</f>
        <v/>
      </c>
    </row>
    <row r="80" customFormat="false" ht="15" hidden="false" customHeight="false" outlineLevel="0" collapsed="false">
      <c r="A80" s="7"/>
      <c r="B80" s="7"/>
      <c r="C80" s="8"/>
      <c r="D80" s="8"/>
      <c r="E80" s="8"/>
      <c r="F80" s="9"/>
      <c r="G80" s="9"/>
      <c r="H80" s="9"/>
      <c r="I80" s="9"/>
      <c r="J80" s="9"/>
      <c r="K80" s="9"/>
      <c r="L80" s="9"/>
      <c r="M80" s="8"/>
      <c r="N80" s="8"/>
      <c r="O80" s="8"/>
      <c r="P80" s="10" t="str">
        <f aca="false">IF($B80="","",IF(AND($C80="Supporter",$E80=4),3,$E80))</f>
        <v/>
      </c>
      <c r="Q80" s="11" t="str">
        <f aca="false">IF($B80="","",IF($G80&gt;0,$H80/$G80,0))</f>
        <v/>
      </c>
      <c r="R80" s="12" t="str">
        <f aca="false">IF($B80="","",IF($G80&gt;0,$I80/$G80,0))</f>
        <v/>
      </c>
      <c r="S80" s="13" t="str">
        <f aca="false">IF($B80="","",IF($W80&lt;=1,100,COUNTIFS($C$5:$C$204,$C80,$P$5:$P$204,$P80,$F$5:$F$204,"&lt;"&amp;$F80)/($W80-1)*100))</f>
        <v/>
      </c>
      <c r="T80" s="13" t="str">
        <f aca="false">IF($B80="","",IF($C80="Supporter","-",IF($W80&lt;=1,100,COUNTIFS($C$5:$C$204,$C80,$P$5:$P$204,$P80,$Q$5:$Q$204,"&lt;"&amp;$Q80)/($W80-1)*100)))</f>
        <v/>
      </c>
      <c r="U80" s="14" t="str">
        <f aca="false">IF($B80="","",IF($C80="Supporter",$S80,0.85*$S80+0.15*$T80))</f>
        <v/>
      </c>
      <c r="V80" s="10" t="str">
        <f aca="false">IF($B80="","",COUNTIFS($C$5:$C$204,$C80,$P$5:$P$204,$P80,$U$5:$U$204,"&gt;"&amp;$U80)+1)</f>
        <v/>
      </c>
      <c r="W80" s="10" t="str">
        <f aca="false">IF($B80="","",COUNTIFS($C$5:$C$204,$C80,$P$5:$P$204,$P80))</f>
        <v/>
      </c>
      <c r="X80" s="15" t="str">
        <f aca="false">IF($B80="","",$V80/$W80)</f>
        <v/>
      </c>
      <c r="Y80" s="10" t="str">
        <f aca="false">IF($B80="","",IF(AND($M80="Có",$J80&lt;=Nguong!$B$16,$K80&lt;=Nguong!$B$17,$L80&lt;=Nguong!$B$18,$R80&lt;=INDEX(Nguong!$B$4:$B$8,$D80)),"Đạt","Không đạt"))</f>
        <v/>
      </c>
      <c r="Z80" s="16" t="str">
        <f aca="false">IF($B80="","",IF($D80&gt;=5,"-",INDEX(IF($C80="Supporter",Nguong!$E$4:$E$8,Nguong!$C$4:$C$8),$D80+1)))</f>
        <v/>
      </c>
      <c r="AA80" s="16" t="str">
        <f aca="false">IF($B80="","",INDEX(IF($C80="Supporter",Nguong!$F$4:$F$8,Nguong!$D$4:$D$8),$D80))</f>
        <v/>
      </c>
      <c r="AB80" s="17" t="str">
        <f aca="false">IF($B80="","",IF($Y80="Không đạt",IF($D80=1,"Không đạt ĐK cần – SM/GĐKV xem xét","Xuống Level "&amp;($D80-1)&amp;" (không đạt ĐK cần)"),IF(AND($D80&lt;5,$Z80&lt;&gt;"-",$X80&lt;=$Z80,$N80="Có",$O80="Có"),"Lên Level "&amp;($D80+1),IF($X80&lt;=$AA80,"Giữ Level "&amp;$D80,"Xuống Level "&amp;($D80-1)&amp;" (ngoài ngưỡng giữ)"))))</f>
        <v/>
      </c>
    </row>
    <row r="81" customFormat="false" ht="15" hidden="false" customHeight="false" outlineLevel="0" collapsed="false">
      <c r="A81" s="7"/>
      <c r="B81" s="7"/>
      <c r="C81" s="8"/>
      <c r="D81" s="8"/>
      <c r="E81" s="8"/>
      <c r="F81" s="9"/>
      <c r="G81" s="9"/>
      <c r="H81" s="9"/>
      <c r="I81" s="9"/>
      <c r="J81" s="9"/>
      <c r="K81" s="9"/>
      <c r="L81" s="9"/>
      <c r="M81" s="8"/>
      <c r="N81" s="8"/>
      <c r="O81" s="8"/>
      <c r="P81" s="10" t="str">
        <f aca="false">IF($B81="","",IF(AND($C81="Supporter",$E81=4),3,$E81))</f>
        <v/>
      </c>
      <c r="Q81" s="11" t="str">
        <f aca="false">IF($B81="","",IF($G81&gt;0,$H81/$G81,0))</f>
        <v/>
      </c>
      <c r="R81" s="12" t="str">
        <f aca="false">IF($B81="","",IF($G81&gt;0,$I81/$G81,0))</f>
        <v/>
      </c>
      <c r="S81" s="13" t="str">
        <f aca="false">IF($B81="","",IF($W81&lt;=1,100,COUNTIFS($C$5:$C$204,$C81,$P$5:$P$204,$P81,$F$5:$F$204,"&lt;"&amp;$F81)/($W81-1)*100))</f>
        <v/>
      </c>
      <c r="T81" s="13" t="str">
        <f aca="false">IF($B81="","",IF($C81="Supporter","-",IF($W81&lt;=1,100,COUNTIFS($C$5:$C$204,$C81,$P$5:$P$204,$P81,$Q$5:$Q$204,"&lt;"&amp;$Q81)/($W81-1)*100)))</f>
        <v/>
      </c>
      <c r="U81" s="14" t="str">
        <f aca="false">IF($B81="","",IF($C81="Supporter",$S81,0.85*$S81+0.15*$T81))</f>
        <v/>
      </c>
      <c r="V81" s="10" t="str">
        <f aca="false">IF($B81="","",COUNTIFS($C$5:$C$204,$C81,$P$5:$P$204,$P81,$U$5:$U$204,"&gt;"&amp;$U81)+1)</f>
        <v/>
      </c>
      <c r="W81" s="10" t="str">
        <f aca="false">IF($B81="","",COUNTIFS($C$5:$C$204,$C81,$P$5:$P$204,$P81))</f>
        <v/>
      </c>
      <c r="X81" s="15" t="str">
        <f aca="false">IF($B81="","",$V81/$W81)</f>
        <v/>
      </c>
      <c r="Y81" s="10" t="str">
        <f aca="false">IF($B81="","",IF(AND($M81="Có",$J81&lt;=Nguong!$B$16,$K81&lt;=Nguong!$B$17,$L81&lt;=Nguong!$B$18,$R81&lt;=INDEX(Nguong!$B$4:$B$8,$D81)),"Đạt","Không đạt"))</f>
        <v/>
      </c>
      <c r="Z81" s="16" t="str">
        <f aca="false">IF($B81="","",IF($D81&gt;=5,"-",INDEX(IF($C81="Supporter",Nguong!$E$4:$E$8,Nguong!$C$4:$C$8),$D81+1)))</f>
        <v/>
      </c>
      <c r="AA81" s="16" t="str">
        <f aca="false">IF($B81="","",INDEX(IF($C81="Supporter",Nguong!$F$4:$F$8,Nguong!$D$4:$D$8),$D81))</f>
        <v/>
      </c>
      <c r="AB81" s="17" t="str">
        <f aca="false">IF($B81="","",IF($Y81="Không đạt",IF($D81=1,"Không đạt ĐK cần – SM/GĐKV xem xét","Xuống Level "&amp;($D81-1)&amp;" (không đạt ĐK cần)"),IF(AND($D81&lt;5,$Z81&lt;&gt;"-",$X81&lt;=$Z81,$N81="Có",$O81="Có"),"Lên Level "&amp;($D81+1),IF($X81&lt;=$AA81,"Giữ Level "&amp;$D81,"Xuống Level "&amp;($D81-1)&amp;" (ngoài ngưỡng giữ)"))))</f>
        <v/>
      </c>
    </row>
    <row r="82" customFormat="false" ht="15" hidden="false" customHeight="false" outlineLevel="0" collapsed="false">
      <c r="A82" s="7"/>
      <c r="B82" s="7"/>
      <c r="C82" s="8"/>
      <c r="D82" s="8"/>
      <c r="E82" s="8"/>
      <c r="F82" s="9"/>
      <c r="G82" s="9"/>
      <c r="H82" s="9"/>
      <c r="I82" s="9"/>
      <c r="J82" s="9"/>
      <c r="K82" s="9"/>
      <c r="L82" s="9"/>
      <c r="M82" s="8"/>
      <c r="N82" s="8"/>
      <c r="O82" s="8"/>
      <c r="P82" s="10" t="str">
        <f aca="false">IF($B82="","",IF(AND($C82="Supporter",$E82=4),3,$E82))</f>
        <v/>
      </c>
      <c r="Q82" s="11" t="str">
        <f aca="false">IF($B82="","",IF($G82&gt;0,$H82/$G82,0))</f>
        <v/>
      </c>
      <c r="R82" s="12" t="str">
        <f aca="false">IF($B82="","",IF($G82&gt;0,$I82/$G82,0))</f>
        <v/>
      </c>
      <c r="S82" s="13" t="str">
        <f aca="false">IF($B82="","",IF($W82&lt;=1,100,COUNTIFS($C$5:$C$204,$C82,$P$5:$P$204,$P82,$F$5:$F$204,"&lt;"&amp;$F82)/($W82-1)*100))</f>
        <v/>
      </c>
      <c r="T82" s="13" t="str">
        <f aca="false">IF($B82="","",IF($C82="Supporter","-",IF($W82&lt;=1,100,COUNTIFS($C$5:$C$204,$C82,$P$5:$P$204,$P82,$Q$5:$Q$204,"&lt;"&amp;$Q82)/($W82-1)*100)))</f>
        <v/>
      </c>
      <c r="U82" s="14" t="str">
        <f aca="false">IF($B82="","",IF($C82="Supporter",$S82,0.85*$S82+0.15*$T82))</f>
        <v/>
      </c>
      <c r="V82" s="10" t="str">
        <f aca="false">IF($B82="","",COUNTIFS($C$5:$C$204,$C82,$P$5:$P$204,$P82,$U$5:$U$204,"&gt;"&amp;$U82)+1)</f>
        <v/>
      </c>
      <c r="W82" s="10" t="str">
        <f aca="false">IF($B82="","",COUNTIFS($C$5:$C$204,$C82,$P$5:$P$204,$P82))</f>
        <v/>
      </c>
      <c r="X82" s="15" t="str">
        <f aca="false">IF($B82="","",$V82/$W82)</f>
        <v/>
      </c>
      <c r="Y82" s="10" t="str">
        <f aca="false">IF($B82="","",IF(AND($M82="Có",$J82&lt;=Nguong!$B$16,$K82&lt;=Nguong!$B$17,$L82&lt;=Nguong!$B$18,$R82&lt;=INDEX(Nguong!$B$4:$B$8,$D82)),"Đạt","Không đạt"))</f>
        <v/>
      </c>
      <c r="Z82" s="16" t="str">
        <f aca="false">IF($B82="","",IF($D82&gt;=5,"-",INDEX(IF($C82="Supporter",Nguong!$E$4:$E$8,Nguong!$C$4:$C$8),$D82+1)))</f>
        <v/>
      </c>
      <c r="AA82" s="16" t="str">
        <f aca="false">IF($B82="","",INDEX(IF($C82="Supporter",Nguong!$F$4:$F$8,Nguong!$D$4:$D$8),$D82))</f>
        <v/>
      </c>
      <c r="AB82" s="17" t="str">
        <f aca="false">IF($B82="","",IF($Y82="Không đạt",IF($D82=1,"Không đạt ĐK cần – SM/GĐKV xem xét","Xuống Level "&amp;($D82-1)&amp;" (không đạt ĐK cần)"),IF(AND($D82&lt;5,$Z82&lt;&gt;"-",$X82&lt;=$Z82,$N82="Có",$O82="Có"),"Lên Level "&amp;($D82+1),IF($X82&lt;=$AA82,"Giữ Level "&amp;$D82,"Xuống Level "&amp;($D82-1)&amp;" (ngoài ngưỡng giữ)"))))</f>
        <v/>
      </c>
    </row>
    <row r="83" customFormat="false" ht="15" hidden="false" customHeight="false" outlineLevel="0" collapsed="false">
      <c r="A83" s="7"/>
      <c r="B83" s="7"/>
      <c r="C83" s="8"/>
      <c r="D83" s="8"/>
      <c r="E83" s="8"/>
      <c r="F83" s="9"/>
      <c r="G83" s="9"/>
      <c r="H83" s="9"/>
      <c r="I83" s="9"/>
      <c r="J83" s="9"/>
      <c r="K83" s="9"/>
      <c r="L83" s="9"/>
      <c r="M83" s="8"/>
      <c r="N83" s="8"/>
      <c r="O83" s="8"/>
      <c r="P83" s="10" t="str">
        <f aca="false">IF($B83="","",IF(AND($C83="Supporter",$E83=4),3,$E83))</f>
        <v/>
      </c>
      <c r="Q83" s="11" t="str">
        <f aca="false">IF($B83="","",IF($G83&gt;0,$H83/$G83,0))</f>
        <v/>
      </c>
      <c r="R83" s="12" t="str">
        <f aca="false">IF($B83="","",IF($G83&gt;0,$I83/$G83,0))</f>
        <v/>
      </c>
      <c r="S83" s="13" t="str">
        <f aca="false">IF($B83="","",IF($W83&lt;=1,100,COUNTIFS($C$5:$C$204,$C83,$P$5:$P$204,$P83,$F$5:$F$204,"&lt;"&amp;$F83)/($W83-1)*100))</f>
        <v/>
      </c>
      <c r="T83" s="13" t="str">
        <f aca="false">IF($B83="","",IF($C83="Supporter","-",IF($W83&lt;=1,100,COUNTIFS($C$5:$C$204,$C83,$P$5:$P$204,$P83,$Q$5:$Q$204,"&lt;"&amp;$Q83)/($W83-1)*100)))</f>
        <v/>
      </c>
      <c r="U83" s="14" t="str">
        <f aca="false">IF($B83="","",IF($C83="Supporter",$S83,0.85*$S83+0.15*$T83))</f>
        <v/>
      </c>
      <c r="V83" s="10" t="str">
        <f aca="false">IF($B83="","",COUNTIFS($C$5:$C$204,$C83,$P$5:$P$204,$P83,$U$5:$U$204,"&gt;"&amp;$U83)+1)</f>
        <v/>
      </c>
      <c r="W83" s="10" t="str">
        <f aca="false">IF($B83="","",COUNTIFS($C$5:$C$204,$C83,$P$5:$P$204,$P83))</f>
        <v/>
      </c>
      <c r="X83" s="15" t="str">
        <f aca="false">IF($B83="","",$V83/$W83)</f>
        <v/>
      </c>
      <c r="Y83" s="10" t="str">
        <f aca="false">IF($B83="","",IF(AND($M83="Có",$J83&lt;=Nguong!$B$16,$K83&lt;=Nguong!$B$17,$L83&lt;=Nguong!$B$18,$R83&lt;=INDEX(Nguong!$B$4:$B$8,$D83)),"Đạt","Không đạt"))</f>
        <v/>
      </c>
      <c r="Z83" s="16" t="str">
        <f aca="false">IF($B83="","",IF($D83&gt;=5,"-",INDEX(IF($C83="Supporter",Nguong!$E$4:$E$8,Nguong!$C$4:$C$8),$D83+1)))</f>
        <v/>
      </c>
      <c r="AA83" s="16" t="str">
        <f aca="false">IF($B83="","",INDEX(IF($C83="Supporter",Nguong!$F$4:$F$8,Nguong!$D$4:$D$8),$D83))</f>
        <v/>
      </c>
      <c r="AB83" s="17" t="str">
        <f aca="false">IF($B83="","",IF($Y83="Không đạt",IF($D83=1,"Không đạt ĐK cần – SM/GĐKV xem xét","Xuống Level "&amp;($D83-1)&amp;" (không đạt ĐK cần)"),IF(AND($D83&lt;5,$Z83&lt;&gt;"-",$X83&lt;=$Z83,$N83="Có",$O83="Có"),"Lên Level "&amp;($D83+1),IF($X83&lt;=$AA83,"Giữ Level "&amp;$D83,"Xuống Level "&amp;($D83-1)&amp;" (ngoài ngưỡng giữ)"))))</f>
        <v/>
      </c>
    </row>
    <row r="84" customFormat="false" ht="15" hidden="false" customHeight="false" outlineLevel="0" collapsed="false">
      <c r="A84" s="7"/>
      <c r="B84" s="7"/>
      <c r="C84" s="8"/>
      <c r="D84" s="8"/>
      <c r="E84" s="8"/>
      <c r="F84" s="9"/>
      <c r="G84" s="9"/>
      <c r="H84" s="9"/>
      <c r="I84" s="9"/>
      <c r="J84" s="9"/>
      <c r="K84" s="9"/>
      <c r="L84" s="9"/>
      <c r="M84" s="8"/>
      <c r="N84" s="8"/>
      <c r="O84" s="8"/>
      <c r="P84" s="10" t="str">
        <f aca="false">IF($B84="","",IF(AND($C84="Supporter",$E84=4),3,$E84))</f>
        <v/>
      </c>
      <c r="Q84" s="11" t="str">
        <f aca="false">IF($B84="","",IF($G84&gt;0,$H84/$G84,0))</f>
        <v/>
      </c>
      <c r="R84" s="12" t="str">
        <f aca="false">IF($B84="","",IF($G84&gt;0,$I84/$G84,0))</f>
        <v/>
      </c>
      <c r="S84" s="13" t="str">
        <f aca="false">IF($B84="","",IF($W84&lt;=1,100,COUNTIFS($C$5:$C$204,$C84,$P$5:$P$204,$P84,$F$5:$F$204,"&lt;"&amp;$F84)/($W84-1)*100))</f>
        <v/>
      </c>
      <c r="T84" s="13" t="str">
        <f aca="false">IF($B84="","",IF($C84="Supporter","-",IF($W84&lt;=1,100,COUNTIFS($C$5:$C$204,$C84,$P$5:$P$204,$P84,$Q$5:$Q$204,"&lt;"&amp;$Q84)/($W84-1)*100)))</f>
        <v/>
      </c>
      <c r="U84" s="14" t="str">
        <f aca="false">IF($B84="","",IF($C84="Supporter",$S84,0.85*$S84+0.15*$T84))</f>
        <v/>
      </c>
      <c r="V84" s="10" t="str">
        <f aca="false">IF($B84="","",COUNTIFS($C$5:$C$204,$C84,$P$5:$P$204,$P84,$U$5:$U$204,"&gt;"&amp;$U84)+1)</f>
        <v/>
      </c>
      <c r="W84" s="10" t="str">
        <f aca="false">IF($B84="","",COUNTIFS($C$5:$C$204,$C84,$P$5:$P$204,$P84))</f>
        <v/>
      </c>
      <c r="X84" s="15" t="str">
        <f aca="false">IF($B84="","",$V84/$W84)</f>
        <v/>
      </c>
      <c r="Y84" s="10" t="str">
        <f aca="false">IF($B84="","",IF(AND($M84="Có",$J84&lt;=Nguong!$B$16,$K84&lt;=Nguong!$B$17,$L84&lt;=Nguong!$B$18,$R84&lt;=INDEX(Nguong!$B$4:$B$8,$D84)),"Đạt","Không đạt"))</f>
        <v/>
      </c>
      <c r="Z84" s="16" t="str">
        <f aca="false">IF($B84="","",IF($D84&gt;=5,"-",INDEX(IF($C84="Supporter",Nguong!$E$4:$E$8,Nguong!$C$4:$C$8),$D84+1)))</f>
        <v/>
      </c>
      <c r="AA84" s="16" t="str">
        <f aca="false">IF($B84="","",INDEX(IF($C84="Supporter",Nguong!$F$4:$F$8,Nguong!$D$4:$D$8),$D84))</f>
        <v/>
      </c>
      <c r="AB84" s="17" t="str">
        <f aca="false">IF($B84="","",IF($Y84="Không đạt",IF($D84=1,"Không đạt ĐK cần – SM/GĐKV xem xét","Xuống Level "&amp;($D84-1)&amp;" (không đạt ĐK cần)"),IF(AND($D84&lt;5,$Z84&lt;&gt;"-",$X84&lt;=$Z84,$N84="Có",$O84="Có"),"Lên Level "&amp;($D84+1),IF($X84&lt;=$AA84,"Giữ Level "&amp;$D84,"Xuống Level "&amp;($D84-1)&amp;" (ngoài ngưỡng giữ)"))))</f>
        <v/>
      </c>
    </row>
    <row r="85" customFormat="false" ht="15" hidden="false" customHeight="false" outlineLevel="0" collapsed="false">
      <c r="A85" s="7"/>
      <c r="B85" s="7"/>
      <c r="C85" s="8"/>
      <c r="D85" s="8"/>
      <c r="E85" s="8"/>
      <c r="F85" s="9"/>
      <c r="G85" s="9"/>
      <c r="H85" s="9"/>
      <c r="I85" s="9"/>
      <c r="J85" s="9"/>
      <c r="K85" s="9"/>
      <c r="L85" s="9"/>
      <c r="M85" s="8"/>
      <c r="N85" s="8"/>
      <c r="O85" s="8"/>
      <c r="P85" s="10" t="str">
        <f aca="false">IF($B85="","",IF(AND($C85="Supporter",$E85=4),3,$E85))</f>
        <v/>
      </c>
      <c r="Q85" s="11" t="str">
        <f aca="false">IF($B85="","",IF($G85&gt;0,$H85/$G85,0))</f>
        <v/>
      </c>
      <c r="R85" s="12" t="str">
        <f aca="false">IF($B85="","",IF($G85&gt;0,$I85/$G85,0))</f>
        <v/>
      </c>
      <c r="S85" s="13" t="str">
        <f aca="false">IF($B85="","",IF($W85&lt;=1,100,COUNTIFS($C$5:$C$204,$C85,$P$5:$P$204,$P85,$F$5:$F$204,"&lt;"&amp;$F85)/($W85-1)*100))</f>
        <v/>
      </c>
      <c r="T85" s="13" t="str">
        <f aca="false">IF($B85="","",IF($C85="Supporter","-",IF($W85&lt;=1,100,COUNTIFS($C$5:$C$204,$C85,$P$5:$P$204,$P85,$Q$5:$Q$204,"&lt;"&amp;$Q85)/($W85-1)*100)))</f>
        <v/>
      </c>
      <c r="U85" s="14" t="str">
        <f aca="false">IF($B85="","",IF($C85="Supporter",$S85,0.85*$S85+0.15*$T85))</f>
        <v/>
      </c>
      <c r="V85" s="10" t="str">
        <f aca="false">IF($B85="","",COUNTIFS($C$5:$C$204,$C85,$P$5:$P$204,$P85,$U$5:$U$204,"&gt;"&amp;$U85)+1)</f>
        <v/>
      </c>
      <c r="W85" s="10" t="str">
        <f aca="false">IF($B85="","",COUNTIFS($C$5:$C$204,$C85,$P$5:$P$204,$P85))</f>
        <v/>
      </c>
      <c r="X85" s="15" t="str">
        <f aca="false">IF($B85="","",$V85/$W85)</f>
        <v/>
      </c>
      <c r="Y85" s="10" t="str">
        <f aca="false">IF($B85="","",IF(AND($M85="Có",$J85&lt;=Nguong!$B$16,$K85&lt;=Nguong!$B$17,$L85&lt;=Nguong!$B$18,$R85&lt;=INDEX(Nguong!$B$4:$B$8,$D85)),"Đạt","Không đạt"))</f>
        <v/>
      </c>
      <c r="Z85" s="16" t="str">
        <f aca="false">IF($B85="","",IF($D85&gt;=5,"-",INDEX(IF($C85="Supporter",Nguong!$E$4:$E$8,Nguong!$C$4:$C$8),$D85+1)))</f>
        <v/>
      </c>
      <c r="AA85" s="16" t="str">
        <f aca="false">IF($B85="","",INDEX(IF($C85="Supporter",Nguong!$F$4:$F$8,Nguong!$D$4:$D$8),$D85))</f>
        <v/>
      </c>
      <c r="AB85" s="17" t="str">
        <f aca="false">IF($B85="","",IF($Y85="Không đạt",IF($D85=1,"Không đạt ĐK cần – SM/GĐKV xem xét","Xuống Level "&amp;($D85-1)&amp;" (không đạt ĐK cần)"),IF(AND($D85&lt;5,$Z85&lt;&gt;"-",$X85&lt;=$Z85,$N85="Có",$O85="Có"),"Lên Level "&amp;($D85+1),IF($X85&lt;=$AA85,"Giữ Level "&amp;$D85,"Xuống Level "&amp;($D85-1)&amp;" (ngoài ngưỡng giữ)"))))</f>
        <v/>
      </c>
    </row>
    <row r="86" customFormat="false" ht="15" hidden="false" customHeight="false" outlineLevel="0" collapsed="false">
      <c r="A86" s="7"/>
      <c r="B86" s="7"/>
      <c r="C86" s="8"/>
      <c r="D86" s="8"/>
      <c r="E86" s="8"/>
      <c r="F86" s="9"/>
      <c r="G86" s="9"/>
      <c r="H86" s="9"/>
      <c r="I86" s="9"/>
      <c r="J86" s="9"/>
      <c r="K86" s="9"/>
      <c r="L86" s="9"/>
      <c r="M86" s="8"/>
      <c r="N86" s="8"/>
      <c r="O86" s="8"/>
      <c r="P86" s="10" t="str">
        <f aca="false">IF($B86="","",IF(AND($C86="Supporter",$E86=4),3,$E86))</f>
        <v/>
      </c>
      <c r="Q86" s="11" t="str">
        <f aca="false">IF($B86="","",IF($G86&gt;0,$H86/$G86,0))</f>
        <v/>
      </c>
      <c r="R86" s="12" t="str">
        <f aca="false">IF($B86="","",IF($G86&gt;0,$I86/$G86,0))</f>
        <v/>
      </c>
      <c r="S86" s="13" t="str">
        <f aca="false">IF($B86="","",IF($W86&lt;=1,100,COUNTIFS($C$5:$C$204,$C86,$P$5:$P$204,$P86,$F$5:$F$204,"&lt;"&amp;$F86)/($W86-1)*100))</f>
        <v/>
      </c>
      <c r="T86" s="13" t="str">
        <f aca="false">IF($B86="","",IF($C86="Supporter","-",IF($W86&lt;=1,100,COUNTIFS($C$5:$C$204,$C86,$P$5:$P$204,$P86,$Q$5:$Q$204,"&lt;"&amp;$Q86)/($W86-1)*100)))</f>
        <v/>
      </c>
      <c r="U86" s="14" t="str">
        <f aca="false">IF($B86="","",IF($C86="Supporter",$S86,0.85*$S86+0.15*$T86))</f>
        <v/>
      </c>
      <c r="V86" s="10" t="str">
        <f aca="false">IF($B86="","",COUNTIFS($C$5:$C$204,$C86,$P$5:$P$204,$P86,$U$5:$U$204,"&gt;"&amp;$U86)+1)</f>
        <v/>
      </c>
      <c r="W86" s="10" t="str">
        <f aca="false">IF($B86="","",COUNTIFS($C$5:$C$204,$C86,$P$5:$P$204,$P86))</f>
        <v/>
      </c>
      <c r="X86" s="15" t="str">
        <f aca="false">IF($B86="","",$V86/$W86)</f>
        <v/>
      </c>
      <c r="Y86" s="10" t="str">
        <f aca="false">IF($B86="","",IF(AND($M86="Có",$J86&lt;=Nguong!$B$16,$K86&lt;=Nguong!$B$17,$L86&lt;=Nguong!$B$18,$R86&lt;=INDEX(Nguong!$B$4:$B$8,$D86)),"Đạt","Không đạt"))</f>
        <v/>
      </c>
      <c r="Z86" s="16" t="str">
        <f aca="false">IF($B86="","",IF($D86&gt;=5,"-",INDEX(IF($C86="Supporter",Nguong!$E$4:$E$8,Nguong!$C$4:$C$8),$D86+1)))</f>
        <v/>
      </c>
      <c r="AA86" s="16" t="str">
        <f aca="false">IF($B86="","",INDEX(IF($C86="Supporter",Nguong!$F$4:$F$8,Nguong!$D$4:$D$8),$D86))</f>
        <v/>
      </c>
      <c r="AB86" s="17" t="str">
        <f aca="false">IF($B86="","",IF($Y86="Không đạt",IF($D86=1,"Không đạt ĐK cần – SM/GĐKV xem xét","Xuống Level "&amp;($D86-1)&amp;" (không đạt ĐK cần)"),IF(AND($D86&lt;5,$Z86&lt;&gt;"-",$X86&lt;=$Z86,$N86="Có",$O86="Có"),"Lên Level "&amp;($D86+1),IF($X86&lt;=$AA86,"Giữ Level "&amp;$D86,"Xuống Level "&amp;($D86-1)&amp;" (ngoài ngưỡng giữ)"))))</f>
        <v/>
      </c>
    </row>
    <row r="87" customFormat="false" ht="15" hidden="false" customHeight="false" outlineLevel="0" collapsed="false">
      <c r="A87" s="7"/>
      <c r="B87" s="7"/>
      <c r="C87" s="8"/>
      <c r="D87" s="8"/>
      <c r="E87" s="8"/>
      <c r="F87" s="9"/>
      <c r="G87" s="9"/>
      <c r="H87" s="9"/>
      <c r="I87" s="9"/>
      <c r="J87" s="9"/>
      <c r="K87" s="9"/>
      <c r="L87" s="9"/>
      <c r="M87" s="8"/>
      <c r="N87" s="8"/>
      <c r="O87" s="8"/>
      <c r="P87" s="10" t="str">
        <f aca="false">IF($B87="","",IF(AND($C87="Supporter",$E87=4),3,$E87))</f>
        <v/>
      </c>
      <c r="Q87" s="11" t="str">
        <f aca="false">IF($B87="","",IF($G87&gt;0,$H87/$G87,0))</f>
        <v/>
      </c>
      <c r="R87" s="12" t="str">
        <f aca="false">IF($B87="","",IF($G87&gt;0,$I87/$G87,0))</f>
        <v/>
      </c>
      <c r="S87" s="13" t="str">
        <f aca="false">IF($B87="","",IF($W87&lt;=1,100,COUNTIFS($C$5:$C$204,$C87,$P$5:$P$204,$P87,$F$5:$F$204,"&lt;"&amp;$F87)/($W87-1)*100))</f>
        <v/>
      </c>
      <c r="T87" s="13" t="str">
        <f aca="false">IF($B87="","",IF($C87="Supporter","-",IF($W87&lt;=1,100,COUNTIFS($C$5:$C$204,$C87,$P$5:$P$204,$P87,$Q$5:$Q$204,"&lt;"&amp;$Q87)/($W87-1)*100)))</f>
        <v/>
      </c>
      <c r="U87" s="14" t="str">
        <f aca="false">IF($B87="","",IF($C87="Supporter",$S87,0.85*$S87+0.15*$T87))</f>
        <v/>
      </c>
      <c r="V87" s="10" t="str">
        <f aca="false">IF($B87="","",COUNTIFS($C$5:$C$204,$C87,$P$5:$P$204,$P87,$U$5:$U$204,"&gt;"&amp;$U87)+1)</f>
        <v/>
      </c>
      <c r="W87" s="10" t="str">
        <f aca="false">IF($B87="","",COUNTIFS($C$5:$C$204,$C87,$P$5:$P$204,$P87))</f>
        <v/>
      </c>
      <c r="X87" s="15" t="str">
        <f aca="false">IF($B87="","",$V87/$W87)</f>
        <v/>
      </c>
      <c r="Y87" s="10" t="str">
        <f aca="false">IF($B87="","",IF(AND($M87="Có",$J87&lt;=Nguong!$B$16,$K87&lt;=Nguong!$B$17,$L87&lt;=Nguong!$B$18,$R87&lt;=INDEX(Nguong!$B$4:$B$8,$D87)),"Đạt","Không đạt"))</f>
        <v/>
      </c>
      <c r="Z87" s="16" t="str">
        <f aca="false">IF($B87="","",IF($D87&gt;=5,"-",INDEX(IF($C87="Supporter",Nguong!$E$4:$E$8,Nguong!$C$4:$C$8),$D87+1)))</f>
        <v/>
      </c>
      <c r="AA87" s="16" t="str">
        <f aca="false">IF($B87="","",INDEX(IF($C87="Supporter",Nguong!$F$4:$F$8,Nguong!$D$4:$D$8),$D87))</f>
        <v/>
      </c>
      <c r="AB87" s="17" t="str">
        <f aca="false">IF($B87="","",IF($Y87="Không đạt",IF($D87=1,"Không đạt ĐK cần – SM/GĐKV xem xét","Xuống Level "&amp;($D87-1)&amp;" (không đạt ĐK cần)"),IF(AND($D87&lt;5,$Z87&lt;&gt;"-",$X87&lt;=$Z87,$N87="Có",$O87="Có"),"Lên Level "&amp;($D87+1),IF($X87&lt;=$AA87,"Giữ Level "&amp;$D87,"Xuống Level "&amp;($D87-1)&amp;" (ngoài ngưỡng giữ)"))))</f>
        <v/>
      </c>
    </row>
    <row r="88" customFormat="false" ht="15" hidden="false" customHeight="false" outlineLevel="0" collapsed="false">
      <c r="A88" s="7"/>
      <c r="B88" s="7"/>
      <c r="C88" s="8"/>
      <c r="D88" s="8"/>
      <c r="E88" s="8"/>
      <c r="F88" s="9"/>
      <c r="G88" s="9"/>
      <c r="H88" s="9"/>
      <c r="I88" s="9"/>
      <c r="J88" s="9"/>
      <c r="K88" s="9"/>
      <c r="L88" s="9"/>
      <c r="M88" s="8"/>
      <c r="N88" s="8"/>
      <c r="O88" s="8"/>
      <c r="P88" s="10" t="str">
        <f aca="false">IF($B88="","",IF(AND($C88="Supporter",$E88=4),3,$E88))</f>
        <v/>
      </c>
      <c r="Q88" s="11" t="str">
        <f aca="false">IF($B88="","",IF($G88&gt;0,$H88/$G88,0))</f>
        <v/>
      </c>
      <c r="R88" s="12" t="str">
        <f aca="false">IF($B88="","",IF($G88&gt;0,$I88/$G88,0))</f>
        <v/>
      </c>
      <c r="S88" s="13" t="str">
        <f aca="false">IF($B88="","",IF($W88&lt;=1,100,COUNTIFS($C$5:$C$204,$C88,$P$5:$P$204,$P88,$F$5:$F$204,"&lt;"&amp;$F88)/($W88-1)*100))</f>
        <v/>
      </c>
      <c r="T88" s="13" t="str">
        <f aca="false">IF($B88="","",IF($C88="Supporter","-",IF($W88&lt;=1,100,COUNTIFS($C$5:$C$204,$C88,$P$5:$P$204,$P88,$Q$5:$Q$204,"&lt;"&amp;$Q88)/($W88-1)*100)))</f>
        <v/>
      </c>
      <c r="U88" s="14" t="str">
        <f aca="false">IF($B88="","",IF($C88="Supporter",$S88,0.85*$S88+0.15*$T88))</f>
        <v/>
      </c>
      <c r="V88" s="10" t="str">
        <f aca="false">IF($B88="","",COUNTIFS($C$5:$C$204,$C88,$P$5:$P$204,$P88,$U$5:$U$204,"&gt;"&amp;$U88)+1)</f>
        <v/>
      </c>
      <c r="W88" s="10" t="str">
        <f aca="false">IF($B88="","",COUNTIFS($C$5:$C$204,$C88,$P$5:$P$204,$P88))</f>
        <v/>
      </c>
      <c r="X88" s="15" t="str">
        <f aca="false">IF($B88="","",$V88/$W88)</f>
        <v/>
      </c>
      <c r="Y88" s="10" t="str">
        <f aca="false">IF($B88="","",IF(AND($M88="Có",$J88&lt;=Nguong!$B$16,$K88&lt;=Nguong!$B$17,$L88&lt;=Nguong!$B$18,$R88&lt;=INDEX(Nguong!$B$4:$B$8,$D88)),"Đạt","Không đạt"))</f>
        <v/>
      </c>
      <c r="Z88" s="16" t="str">
        <f aca="false">IF($B88="","",IF($D88&gt;=5,"-",INDEX(IF($C88="Supporter",Nguong!$E$4:$E$8,Nguong!$C$4:$C$8),$D88+1)))</f>
        <v/>
      </c>
      <c r="AA88" s="16" t="str">
        <f aca="false">IF($B88="","",INDEX(IF($C88="Supporter",Nguong!$F$4:$F$8,Nguong!$D$4:$D$8),$D88))</f>
        <v/>
      </c>
      <c r="AB88" s="17" t="str">
        <f aca="false">IF($B88="","",IF($Y88="Không đạt",IF($D88=1,"Không đạt ĐK cần – SM/GĐKV xem xét","Xuống Level "&amp;($D88-1)&amp;" (không đạt ĐK cần)"),IF(AND($D88&lt;5,$Z88&lt;&gt;"-",$X88&lt;=$Z88,$N88="Có",$O88="Có"),"Lên Level "&amp;($D88+1),IF($X88&lt;=$AA88,"Giữ Level "&amp;$D88,"Xuống Level "&amp;($D88-1)&amp;" (ngoài ngưỡng giữ)"))))</f>
        <v/>
      </c>
    </row>
    <row r="89" customFormat="false" ht="15" hidden="false" customHeight="false" outlineLevel="0" collapsed="false">
      <c r="A89" s="7"/>
      <c r="B89" s="7"/>
      <c r="C89" s="8"/>
      <c r="D89" s="8"/>
      <c r="E89" s="8"/>
      <c r="F89" s="9"/>
      <c r="G89" s="9"/>
      <c r="H89" s="9"/>
      <c r="I89" s="9"/>
      <c r="J89" s="9"/>
      <c r="K89" s="9"/>
      <c r="L89" s="9"/>
      <c r="M89" s="8"/>
      <c r="N89" s="8"/>
      <c r="O89" s="8"/>
      <c r="P89" s="10" t="str">
        <f aca="false">IF($B89="","",IF(AND($C89="Supporter",$E89=4),3,$E89))</f>
        <v/>
      </c>
      <c r="Q89" s="11" t="str">
        <f aca="false">IF($B89="","",IF($G89&gt;0,$H89/$G89,0))</f>
        <v/>
      </c>
      <c r="R89" s="12" t="str">
        <f aca="false">IF($B89="","",IF($G89&gt;0,$I89/$G89,0))</f>
        <v/>
      </c>
      <c r="S89" s="13" t="str">
        <f aca="false">IF($B89="","",IF($W89&lt;=1,100,COUNTIFS($C$5:$C$204,$C89,$P$5:$P$204,$P89,$F$5:$F$204,"&lt;"&amp;$F89)/($W89-1)*100))</f>
        <v/>
      </c>
      <c r="T89" s="13" t="str">
        <f aca="false">IF($B89="","",IF($C89="Supporter","-",IF($W89&lt;=1,100,COUNTIFS($C$5:$C$204,$C89,$P$5:$P$204,$P89,$Q$5:$Q$204,"&lt;"&amp;$Q89)/($W89-1)*100)))</f>
        <v/>
      </c>
      <c r="U89" s="14" t="str">
        <f aca="false">IF($B89="","",IF($C89="Supporter",$S89,0.85*$S89+0.15*$T89))</f>
        <v/>
      </c>
      <c r="V89" s="10" t="str">
        <f aca="false">IF($B89="","",COUNTIFS($C$5:$C$204,$C89,$P$5:$P$204,$P89,$U$5:$U$204,"&gt;"&amp;$U89)+1)</f>
        <v/>
      </c>
      <c r="W89" s="10" t="str">
        <f aca="false">IF($B89="","",COUNTIFS($C$5:$C$204,$C89,$P$5:$P$204,$P89))</f>
        <v/>
      </c>
      <c r="X89" s="15" t="str">
        <f aca="false">IF($B89="","",$V89/$W89)</f>
        <v/>
      </c>
      <c r="Y89" s="10" t="str">
        <f aca="false">IF($B89="","",IF(AND($M89="Có",$J89&lt;=Nguong!$B$16,$K89&lt;=Nguong!$B$17,$L89&lt;=Nguong!$B$18,$R89&lt;=INDEX(Nguong!$B$4:$B$8,$D89)),"Đạt","Không đạt"))</f>
        <v/>
      </c>
      <c r="Z89" s="16" t="str">
        <f aca="false">IF($B89="","",IF($D89&gt;=5,"-",INDEX(IF($C89="Supporter",Nguong!$E$4:$E$8,Nguong!$C$4:$C$8),$D89+1)))</f>
        <v/>
      </c>
      <c r="AA89" s="16" t="str">
        <f aca="false">IF($B89="","",INDEX(IF($C89="Supporter",Nguong!$F$4:$F$8,Nguong!$D$4:$D$8),$D89))</f>
        <v/>
      </c>
      <c r="AB89" s="17" t="str">
        <f aca="false">IF($B89="","",IF($Y89="Không đạt",IF($D89=1,"Không đạt ĐK cần – SM/GĐKV xem xét","Xuống Level "&amp;($D89-1)&amp;" (không đạt ĐK cần)"),IF(AND($D89&lt;5,$Z89&lt;&gt;"-",$X89&lt;=$Z89,$N89="Có",$O89="Có"),"Lên Level "&amp;($D89+1),IF($X89&lt;=$AA89,"Giữ Level "&amp;$D89,"Xuống Level "&amp;($D89-1)&amp;" (ngoài ngưỡng giữ)"))))</f>
        <v/>
      </c>
    </row>
    <row r="90" customFormat="false" ht="15" hidden="false" customHeight="false" outlineLevel="0" collapsed="false">
      <c r="A90" s="7"/>
      <c r="B90" s="7"/>
      <c r="C90" s="8"/>
      <c r="D90" s="8"/>
      <c r="E90" s="8"/>
      <c r="F90" s="9"/>
      <c r="G90" s="9"/>
      <c r="H90" s="9"/>
      <c r="I90" s="9"/>
      <c r="J90" s="9"/>
      <c r="K90" s="9"/>
      <c r="L90" s="9"/>
      <c r="M90" s="8"/>
      <c r="N90" s="8"/>
      <c r="O90" s="8"/>
      <c r="P90" s="10" t="str">
        <f aca="false">IF($B90="","",IF(AND($C90="Supporter",$E90=4),3,$E90))</f>
        <v/>
      </c>
      <c r="Q90" s="11" t="str">
        <f aca="false">IF($B90="","",IF($G90&gt;0,$H90/$G90,0))</f>
        <v/>
      </c>
      <c r="R90" s="12" t="str">
        <f aca="false">IF($B90="","",IF($G90&gt;0,$I90/$G90,0))</f>
        <v/>
      </c>
      <c r="S90" s="13" t="str">
        <f aca="false">IF($B90="","",IF($W90&lt;=1,100,COUNTIFS($C$5:$C$204,$C90,$P$5:$P$204,$P90,$F$5:$F$204,"&lt;"&amp;$F90)/($W90-1)*100))</f>
        <v/>
      </c>
      <c r="T90" s="13" t="str">
        <f aca="false">IF($B90="","",IF($C90="Supporter","-",IF($W90&lt;=1,100,COUNTIFS($C$5:$C$204,$C90,$P$5:$P$204,$P90,$Q$5:$Q$204,"&lt;"&amp;$Q90)/($W90-1)*100)))</f>
        <v/>
      </c>
      <c r="U90" s="14" t="str">
        <f aca="false">IF($B90="","",IF($C90="Supporter",$S90,0.85*$S90+0.15*$T90))</f>
        <v/>
      </c>
      <c r="V90" s="10" t="str">
        <f aca="false">IF($B90="","",COUNTIFS($C$5:$C$204,$C90,$P$5:$P$204,$P90,$U$5:$U$204,"&gt;"&amp;$U90)+1)</f>
        <v/>
      </c>
      <c r="W90" s="10" t="str">
        <f aca="false">IF($B90="","",COUNTIFS($C$5:$C$204,$C90,$P$5:$P$204,$P90))</f>
        <v/>
      </c>
      <c r="X90" s="15" t="str">
        <f aca="false">IF($B90="","",$V90/$W90)</f>
        <v/>
      </c>
      <c r="Y90" s="10" t="str">
        <f aca="false">IF($B90="","",IF(AND($M90="Có",$J90&lt;=Nguong!$B$16,$K90&lt;=Nguong!$B$17,$L90&lt;=Nguong!$B$18,$R90&lt;=INDEX(Nguong!$B$4:$B$8,$D90)),"Đạt","Không đạt"))</f>
        <v/>
      </c>
      <c r="Z90" s="16" t="str">
        <f aca="false">IF($B90="","",IF($D90&gt;=5,"-",INDEX(IF($C90="Supporter",Nguong!$E$4:$E$8,Nguong!$C$4:$C$8),$D90+1)))</f>
        <v/>
      </c>
      <c r="AA90" s="16" t="str">
        <f aca="false">IF($B90="","",INDEX(IF($C90="Supporter",Nguong!$F$4:$F$8,Nguong!$D$4:$D$8),$D90))</f>
        <v/>
      </c>
      <c r="AB90" s="17" t="str">
        <f aca="false">IF($B90="","",IF($Y90="Không đạt",IF($D90=1,"Không đạt ĐK cần – SM/GĐKV xem xét","Xuống Level "&amp;($D90-1)&amp;" (không đạt ĐK cần)"),IF(AND($D90&lt;5,$Z90&lt;&gt;"-",$X90&lt;=$Z90,$N90="Có",$O90="Có"),"Lên Level "&amp;($D90+1),IF($X90&lt;=$AA90,"Giữ Level "&amp;$D90,"Xuống Level "&amp;($D90-1)&amp;" (ngoài ngưỡng giữ)"))))</f>
        <v/>
      </c>
    </row>
    <row r="91" customFormat="false" ht="15" hidden="false" customHeight="false" outlineLevel="0" collapsed="false">
      <c r="A91" s="7"/>
      <c r="B91" s="7"/>
      <c r="C91" s="8"/>
      <c r="D91" s="8"/>
      <c r="E91" s="8"/>
      <c r="F91" s="9"/>
      <c r="G91" s="9"/>
      <c r="H91" s="9"/>
      <c r="I91" s="9"/>
      <c r="J91" s="9"/>
      <c r="K91" s="9"/>
      <c r="L91" s="9"/>
      <c r="M91" s="8"/>
      <c r="N91" s="8"/>
      <c r="O91" s="8"/>
      <c r="P91" s="10" t="str">
        <f aca="false">IF($B91="","",IF(AND($C91="Supporter",$E91=4),3,$E91))</f>
        <v/>
      </c>
      <c r="Q91" s="11" t="str">
        <f aca="false">IF($B91="","",IF($G91&gt;0,$H91/$G91,0))</f>
        <v/>
      </c>
      <c r="R91" s="12" t="str">
        <f aca="false">IF($B91="","",IF($G91&gt;0,$I91/$G91,0))</f>
        <v/>
      </c>
      <c r="S91" s="13" t="str">
        <f aca="false">IF($B91="","",IF($W91&lt;=1,100,COUNTIFS($C$5:$C$204,$C91,$P$5:$P$204,$P91,$F$5:$F$204,"&lt;"&amp;$F91)/($W91-1)*100))</f>
        <v/>
      </c>
      <c r="T91" s="13" t="str">
        <f aca="false">IF($B91="","",IF($C91="Supporter","-",IF($W91&lt;=1,100,COUNTIFS($C$5:$C$204,$C91,$P$5:$P$204,$P91,$Q$5:$Q$204,"&lt;"&amp;$Q91)/($W91-1)*100)))</f>
        <v/>
      </c>
      <c r="U91" s="14" t="str">
        <f aca="false">IF($B91="","",IF($C91="Supporter",$S91,0.85*$S91+0.15*$T91))</f>
        <v/>
      </c>
      <c r="V91" s="10" t="str">
        <f aca="false">IF($B91="","",COUNTIFS($C$5:$C$204,$C91,$P$5:$P$204,$P91,$U$5:$U$204,"&gt;"&amp;$U91)+1)</f>
        <v/>
      </c>
      <c r="W91" s="10" t="str">
        <f aca="false">IF($B91="","",COUNTIFS($C$5:$C$204,$C91,$P$5:$P$204,$P91))</f>
        <v/>
      </c>
      <c r="X91" s="15" t="str">
        <f aca="false">IF($B91="","",$V91/$W91)</f>
        <v/>
      </c>
      <c r="Y91" s="10" t="str">
        <f aca="false">IF($B91="","",IF(AND($M91="Có",$J91&lt;=Nguong!$B$16,$K91&lt;=Nguong!$B$17,$L91&lt;=Nguong!$B$18,$R91&lt;=INDEX(Nguong!$B$4:$B$8,$D91)),"Đạt","Không đạt"))</f>
        <v/>
      </c>
      <c r="Z91" s="16" t="str">
        <f aca="false">IF($B91="","",IF($D91&gt;=5,"-",INDEX(IF($C91="Supporter",Nguong!$E$4:$E$8,Nguong!$C$4:$C$8),$D91+1)))</f>
        <v/>
      </c>
      <c r="AA91" s="16" t="str">
        <f aca="false">IF($B91="","",INDEX(IF($C91="Supporter",Nguong!$F$4:$F$8,Nguong!$D$4:$D$8),$D91))</f>
        <v/>
      </c>
      <c r="AB91" s="17" t="str">
        <f aca="false">IF($B91="","",IF($Y91="Không đạt",IF($D91=1,"Không đạt ĐK cần – SM/GĐKV xem xét","Xuống Level "&amp;($D91-1)&amp;" (không đạt ĐK cần)"),IF(AND($D91&lt;5,$Z91&lt;&gt;"-",$X91&lt;=$Z91,$N91="Có",$O91="Có"),"Lên Level "&amp;($D91+1),IF($X91&lt;=$AA91,"Giữ Level "&amp;$D91,"Xuống Level "&amp;($D91-1)&amp;" (ngoài ngưỡng giữ)"))))</f>
        <v/>
      </c>
    </row>
    <row r="92" customFormat="false" ht="15" hidden="false" customHeight="false" outlineLevel="0" collapsed="false">
      <c r="A92" s="7"/>
      <c r="B92" s="7"/>
      <c r="C92" s="8"/>
      <c r="D92" s="8"/>
      <c r="E92" s="8"/>
      <c r="F92" s="9"/>
      <c r="G92" s="9"/>
      <c r="H92" s="9"/>
      <c r="I92" s="9"/>
      <c r="J92" s="9"/>
      <c r="K92" s="9"/>
      <c r="L92" s="9"/>
      <c r="M92" s="8"/>
      <c r="N92" s="8"/>
      <c r="O92" s="8"/>
      <c r="P92" s="10" t="str">
        <f aca="false">IF($B92="","",IF(AND($C92="Supporter",$E92=4),3,$E92))</f>
        <v/>
      </c>
      <c r="Q92" s="11" t="str">
        <f aca="false">IF($B92="","",IF($G92&gt;0,$H92/$G92,0))</f>
        <v/>
      </c>
      <c r="R92" s="12" t="str">
        <f aca="false">IF($B92="","",IF($G92&gt;0,$I92/$G92,0))</f>
        <v/>
      </c>
      <c r="S92" s="13" t="str">
        <f aca="false">IF($B92="","",IF($W92&lt;=1,100,COUNTIFS($C$5:$C$204,$C92,$P$5:$P$204,$P92,$F$5:$F$204,"&lt;"&amp;$F92)/($W92-1)*100))</f>
        <v/>
      </c>
      <c r="T92" s="13" t="str">
        <f aca="false">IF($B92="","",IF($C92="Supporter","-",IF($W92&lt;=1,100,COUNTIFS($C$5:$C$204,$C92,$P$5:$P$204,$P92,$Q$5:$Q$204,"&lt;"&amp;$Q92)/($W92-1)*100)))</f>
        <v/>
      </c>
      <c r="U92" s="14" t="str">
        <f aca="false">IF($B92="","",IF($C92="Supporter",$S92,0.85*$S92+0.15*$T92))</f>
        <v/>
      </c>
      <c r="V92" s="10" t="str">
        <f aca="false">IF($B92="","",COUNTIFS($C$5:$C$204,$C92,$P$5:$P$204,$P92,$U$5:$U$204,"&gt;"&amp;$U92)+1)</f>
        <v/>
      </c>
      <c r="W92" s="10" t="str">
        <f aca="false">IF($B92="","",COUNTIFS($C$5:$C$204,$C92,$P$5:$P$204,$P92))</f>
        <v/>
      </c>
      <c r="X92" s="15" t="str">
        <f aca="false">IF($B92="","",$V92/$W92)</f>
        <v/>
      </c>
      <c r="Y92" s="10" t="str">
        <f aca="false">IF($B92="","",IF(AND($M92="Có",$J92&lt;=Nguong!$B$16,$K92&lt;=Nguong!$B$17,$L92&lt;=Nguong!$B$18,$R92&lt;=INDEX(Nguong!$B$4:$B$8,$D92)),"Đạt","Không đạt"))</f>
        <v/>
      </c>
      <c r="Z92" s="16" t="str">
        <f aca="false">IF($B92="","",IF($D92&gt;=5,"-",INDEX(IF($C92="Supporter",Nguong!$E$4:$E$8,Nguong!$C$4:$C$8),$D92+1)))</f>
        <v/>
      </c>
      <c r="AA92" s="16" t="str">
        <f aca="false">IF($B92="","",INDEX(IF($C92="Supporter",Nguong!$F$4:$F$8,Nguong!$D$4:$D$8),$D92))</f>
        <v/>
      </c>
      <c r="AB92" s="17" t="str">
        <f aca="false">IF($B92="","",IF($Y92="Không đạt",IF($D92=1,"Không đạt ĐK cần – SM/GĐKV xem xét","Xuống Level "&amp;($D92-1)&amp;" (không đạt ĐK cần)"),IF(AND($D92&lt;5,$Z92&lt;&gt;"-",$X92&lt;=$Z92,$N92="Có",$O92="Có"),"Lên Level "&amp;($D92+1),IF($X92&lt;=$AA92,"Giữ Level "&amp;$D92,"Xuống Level "&amp;($D92-1)&amp;" (ngoài ngưỡng giữ)"))))</f>
        <v/>
      </c>
    </row>
    <row r="93" customFormat="false" ht="15" hidden="false" customHeight="false" outlineLevel="0" collapsed="false">
      <c r="A93" s="7"/>
      <c r="B93" s="7"/>
      <c r="C93" s="8"/>
      <c r="D93" s="8"/>
      <c r="E93" s="8"/>
      <c r="F93" s="9"/>
      <c r="G93" s="9"/>
      <c r="H93" s="9"/>
      <c r="I93" s="9"/>
      <c r="J93" s="9"/>
      <c r="K93" s="9"/>
      <c r="L93" s="9"/>
      <c r="M93" s="8"/>
      <c r="N93" s="8"/>
      <c r="O93" s="8"/>
      <c r="P93" s="10" t="str">
        <f aca="false">IF($B93="","",IF(AND($C93="Supporter",$E93=4),3,$E93))</f>
        <v/>
      </c>
      <c r="Q93" s="11" t="str">
        <f aca="false">IF($B93="","",IF($G93&gt;0,$H93/$G93,0))</f>
        <v/>
      </c>
      <c r="R93" s="12" t="str">
        <f aca="false">IF($B93="","",IF($G93&gt;0,$I93/$G93,0))</f>
        <v/>
      </c>
      <c r="S93" s="13" t="str">
        <f aca="false">IF($B93="","",IF($W93&lt;=1,100,COUNTIFS($C$5:$C$204,$C93,$P$5:$P$204,$P93,$F$5:$F$204,"&lt;"&amp;$F93)/($W93-1)*100))</f>
        <v/>
      </c>
      <c r="T93" s="13" t="str">
        <f aca="false">IF($B93="","",IF($C93="Supporter","-",IF($W93&lt;=1,100,COUNTIFS($C$5:$C$204,$C93,$P$5:$P$204,$P93,$Q$5:$Q$204,"&lt;"&amp;$Q93)/($W93-1)*100)))</f>
        <v/>
      </c>
      <c r="U93" s="14" t="str">
        <f aca="false">IF($B93="","",IF($C93="Supporter",$S93,0.85*$S93+0.15*$T93))</f>
        <v/>
      </c>
      <c r="V93" s="10" t="str">
        <f aca="false">IF($B93="","",COUNTIFS($C$5:$C$204,$C93,$P$5:$P$204,$P93,$U$5:$U$204,"&gt;"&amp;$U93)+1)</f>
        <v/>
      </c>
      <c r="W93" s="10" t="str">
        <f aca="false">IF($B93="","",COUNTIFS($C$5:$C$204,$C93,$P$5:$P$204,$P93))</f>
        <v/>
      </c>
      <c r="X93" s="15" t="str">
        <f aca="false">IF($B93="","",$V93/$W93)</f>
        <v/>
      </c>
      <c r="Y93" s="10" t="str">
        <f aca="false">IF($B93="","",IF(AND($M93="Có",$J93&lt;=Nguong!$B$16,$K93&lt;=Nguong!$B$17,$L93&lt;=Nguong!$B$18,$R93&lt;=INDEX(Nguong!$B$4:$B$8,$D93)),"Đạt","Không đạt"))</f>
        <v/>
      </c>
      <c r="Z93" s="16" t="str">
        <f aca="false">IF($B93="","",IF($D93&gt;=5,"-",INDEX(IF($C93="Supporter",Nguong!$E$4:$E$8,Nguong!$C$4:$C$8),$D93+1)))</f>
        <v/>
      </c>
      <c r="AA93" s="16" t="str">
        <f aca="false">IF($B93="","",INDEX(IF($C93="Supporter",Nguong!$F$4:$F$8,Nguong!$D$4:$D$8),$D93))</f>
        <v/>
      </c>
      <c r="AB93" s="17" t="str">
        <f aca="false">IF($B93="","",IF($Y93="Không đạt",IF($D93=1,"Không đạt ĐK cần – SM/GĐKV xem xét","Xuống Level "&amp;($D93-1)&amp;" (không đạt ĐK cần)"),IF(AND($D93&lt;5,$Z93&lt;&gt;"-",$X93&lt;=$Z93,$N93="Có",$O93="Có"),"Lên Level "&amp;($D93+1),IF($X93&lt;=$AA93,"Giữ Level "&amp;$D93,"Xuống Level "&amp;($D93-1)&amp;" (ngoài ngưỡng giữ)"))))</f>
        <v/>
      </c>
    </row>
    <row r="94" customFormat="false" ht="15" hidden="false" customHeight="false" outlineLevel="0" collapsed="false">
      <c r="A94" s="7"/>
      <c r="B94" s="7"/>
      <c r="C94" s="8"/>
      <c r="D94" s="8"/>
      <c r="E94" s="8"/>
      <c r="F94" s="9"/>
      <c r="G94" s="9"/>
      <c r="H94" s="9"/>
      <c r="I94" s="9"/>
      <c r="J94" s="9"/>
      <c r="K94" s="9"/>
      <c r="L94" s="9"/>
      <c r="M94" s="8"/>
      <c r="N94" s="8"/>
      <c r="O94" s="8"/>
      <c r="P94" s="10" t="str">
        <f aca="false">IF($B94="","",IF(AND($C94="Supporter",$E94=4),3,$E94))</f>
        <v/>
      </c>
      <c r="Q94" s="11" t="str">
        <f aca="false">IF($B94="","",IF($G94&gt;0,$H94/$G94,0))</f>
        <v/>
      </c>
      <c r="R94" s="12" t="str">
        <f aca="false">IF($B94="","",IF($G94&gt;0,$I94/$G94,0))</f>
        <v/>
      </c>
      <c r="S94" s="13" t="str">
        <f aca="false">IF($B94="","",IF($W94&lt;=1,100,COUNTIFS($C$5:$C$204,$C94,$P$5:$P$204,$P94,$F$5:$F$204,"&lt;"&amp;$F94)/($W94-1)*100))</f>
        <v/>
      </c>
      <c r="T94" s="13" t="str">
        <f aca="false">IF($B94="","",IF($C94="Supporter","-",IF($W94&lt;=1,100,COUNTIFS($C$5:$C$204,$C94,$P$5:$P$204,$P94,$Q$5:$Q$204,"&lt;"&amp;$Q94)/($W94-1)*100)))</f>
        <v/>
      </c>
      <c r="U94" s="14" t="str">
        <f aca="false">IF($B94="","",IF($C94="Supporter",$S94,0.85*$S94+0.15*$T94))</f>
        <v/>
      </c>
      <c r="V94" s="10" t="str">
        <f aca="false">IF($B94="","",COUNTIFS($C$5:$C$204,$C94,$P$5:$P$204,$P94,$U$5:$U$204,"&gt;"&amp;$U94)+1)</f>
        <v/>
      </c>
      <c r="W94" s="10" t="str">
        <f aca="false">IF($B94="","",COUNTIFS($C$5:$C$204,$C94,$P$5:$P$204,$P94))</f>
        <v/>
      </c>
      <c r="X94" s="15" t="str">
        <f aca="false">IF($B94="","",$V94/$W94)</f>
        <v/>
      </c>
      <c r="Y94" s="10" t="str">
        <f aca="false">IF($B94="","",IF(AND($M94="Có",$J94&lt;=Nguong!$B$16,$K94&lt;=Nguong!$B$17,$L94&lt;=Nguong!$B$18,$R94&lt;=INDEX(Nguong!$B$4:$B$8,$D94)),"Đạt","Không đạt"))</f>
        <v/>
      </c>
      <c r="Z94" s="16" t="str">
        <f aca="false">IF($B94="","",IF($D94&gt;=5,"-",INDEX(IF($C94="Supporter",Nguong!$E$4:$E$8,Nguong!$C$4:$C$8),$D94+1)))</f>
        <v/>
      </c>
      <c r="AA94" s="16" t="str">
        <f aca="false">IF($B94="","",INDEX(IF($C94="Supporter",Nguong!$F$4:$F$8,Nguong!$D$4:$D$8),$D94))</f>
        <v/>
      </c>
      <c r="AB94" s="17" t="str">
        <f aca="false">IF($B94="","",IF($Y94="Không đạt",IF($D94=1,"Không đạt ĐK cần – SM/GĐKV xem xét","Xuống Level "&amp;($D94-1)&amp;" (không đạt ĐK cần)"),IF(AND($D94&lt;5,$Z94&lt;&gt;"-",$X94&lt;=$Z94,$N94="Có",$O94="Có"),"Lên Level "&amp;($D94+1),IF($X94&lt;=$AA94,"Giữ Level "&amp;$D94,"Xuống Level "&amp;($D94-1)&amp;" (ngoài ngưỡng giữ)"))))</f>
        <v/>
      </c>
    </row>
    <row r="95" customFormat="false" ht="15" hidden="false" customHeight="false" outlineLevel="0" collapsed="false">
      <c r="A95" s="7"/>
      <c r="B95" s="7"/>
      <c r="C95" s="8"/>
      <c r="D95" s="8"/>
      <c r="E95" s="8"/>
      <c r="F95" s="9"/>
      <c r="G95" s="9"/>
      <c r="H95" s="9"/>
      <c r="I95" s="9"/>
      <c r="J95" s="9"/>
      <c r="K95" s="9"/>
      <c r="L95" s="9"/>
      <c r="M95" s="8"/>
      <c r="N95" s="8"/>
      <c r="O95" s="8"/>
      <c r="P95" s="10" t="str">
        <f aca="false">IF($B95="","",IF(AND($C95="Supporter",$E95=4),3,$E95))</f>
        <v/>
      </c>
      <c r="Q95" s="11" t="str">
        <f aca="false">IF($B95="","",IF($G95&gt;0,$H95/$G95,0))</f>
        <v/>
      </c>
      <c r="R95" s="12" t="str">
        <f aca="false">IF($B95="","",IF($G95&gt;0,$I95/$G95,0))</f>
        <v/>
      </c>
      <c r="S95" s="13" t="str">
        <f aca="false">IF($B95="","",IF($W95&lt;=1,100,COUNTIFS($C$5:$C$204,$C95,$P$5:$P$204,$P95,$F$5:$F$204,"&lt;"&amp;$F95)/($W95-1)*100))</f>
        <v/>
      </c>
      <c r="T95" s="13" t="str">
        <f aca="false">IF($B95="","",IF($C95="Supporter","-",IF($W95&lt;=1,100,COUNTIFS($C$5:$C$204,$C95,$P$5:$P$204,$P95,$Q$5:$Q$204,"&lt;"&amp;$Q95)/($W95-1)*100)))</f>
        <v/>
      </c>
      <c r="U95" s="14" t="str">
        <f aca="false">IF($B95="","",IF($C95="Supporter",$S95,0.85*$S95+0.15*$T95))</f>
        <v/>
      </c>
      <c r="V95" s="10" t="str">
        <f aca="false">IF($B95="","",COUNTIFS($C$5:$C$204,$C95,$P$5:$P$204,$P95,$U$5:$U$204,"&gt;"&amp;$U95)+1)</f>
        <v/>
      </c>
      <c r="W95" s="10" t="str">
        <f aca="false">IF($B95="","",COUNTIFS($C$5:$C$204,$C95,$P$5:$P$204,$P95))</f>
        <v/>
      </c>
      <c r="X95" s="15" t="str">
        <f aca="false">IF($B95="","",$V95/$W95)</f>
        <v/>
      </c>
      <c r="Y95" s="10" t="str">
        <f aca="false">IF($B95="","",IF(AND($M95="Có",$J95&lt;=Nguong!$B$16,$K95&lt;=Nguong!$B$17,$L95&lt;=Nguong!$B$18,$R95&lt;=INDEX(Nguong!$B$4:$B$8,$D95)),"Đạt","Không đạt"))</f>
        <v/>
      </c>
      <c r="Z95" s="16" t="str">
        <f aca="false">IF($B95="","",IF($D95&gt;=5,"-",INDEX(IF($C95="Supporter",Nguong!$E$4:$E$8,Nguong!$C$4:$C$8),$D95+1)))</f>
        <v/>
      </c>
      <c r="AA95" s="16" t="str">
        <f aca="false">IF($B95="","",INDEX(IF($C95="Supporter",Nguong!$F$4:$F$8,Nguong!$D$4:$D$8),$D95))</f>
        <v/>
      </c>
      <c r="AB95" s="17" t="str">
        <f aca="false">IF($B95="","",IF($Y95="Không đạt",IF($D95=1,"Không đạt ĐK cần – SM/GĐKV xem xét","Xuống Level "&amp;($D95-1)&amp;" (không đạt ĐK cần)"),IF(AND($D95&lt;5,$Z95&lt;&gt;"-",$X95&lt;=$Z95,$N95="Có",$O95="Có"),"Lên Level "&amp;($D95+1),IF($X95&lt;=$AA95,"Giữ Level "&amp;$D95,"Xuống Level "&amp;($D95-1)&amp;" (ngoài ngưỡng giữ)"))))</f>
        <v/>
      </c>
    </row>
    <row r="96" customFormat="false" ht="15" hidden="false" customHeight="false" outlineLevel="0" collapsed="false">
      <c r="A96" s="7"/>
      <c r="B96" s="7"/>
      <c r="C96" s="8"/>
      <c r="D96" s="8"/>
      <c r="E96" s="8"/>
      <c r="F96" s="9"/>
      <c r="G96" s="9"/>
      <c r="H96" s="9"/>
      <c r="I96" s="9"/>
      <c r="J96" s="9"/>
      <c r="K96" s="9"/>
      <c r="L96" s="9"/>
      <c r="M96" s="8"/>
      <c r="N96" s="8"/>
      <c r="O96" s="8"/>
      <c r="P96" s="10" t="str">
        <f aca="false">IF($B96="","",IF(AND($C96="Supporter",$E96=4),3,$E96))</f>
        <v/>
      </c>
      <c r="Q96" s="11" t="str">
        <f aca="false">IF($B96="","",IF($G96&gt;0,$H96/$G96,0))</f>
        <v/>
      </c>
      <c r="R96" s="12" t="str">
        <f aca="false">IF($B96="","",IF($G96&gt;0,$I96/$G96,0))</f>
        <v/>
      </c>
      <c r="S96" s="13" t="str">
        <f aca="false">IF($B96="","",IF($W96&lt;=1,100,COUNTIFS($C$5:$C$204,$C96,$P$5:$P$204,$P96,$F$5:$F$204,"&lt;"&amp;$F96)/($W96-1)*100))</f>
        <v/>
      </c>
      <c r="T96" s="13" t="str">
        <f aca="false">IF($B96="","",IF($C96="Supporter","-",IF($W96&lt;=1,100,COUNTIFS($C$5:$C$204,$C96,$P$5:$P$204,$P96,$Q$5:$Q$204,"&lt;"&amp;$Q96)/($W96-1)*100)))</f>
        <v/>
      </c>
      <c r="U96" s="14" t="str">
        <f aca="false">IF($B96="","",IF($C96="Supporter",$S96,0.85*$S96+0.15*$T96))</f>
        <v/>
      </c>
      <c r="V96" s="10" t="str">
        <f aca="false">IF($B96="","",COUNTIFS($C$5:$C$204,$C96,$P$5:$P$204,$P96,$U$5:$U$204,"&gt;"&amp;$U96)+1)</f>
        <v/>
      </c>
      <c r="W96" s="10" t="str">
        <f aca="false">IF($B96="","",COUNTIFS($C$5:$C$204,$C96,$P$5:$P$204,$P96))</f>
        <v/>
      </c>
      <c r="X96" s="15" t="str">
        <f aca="false">IF($B96="","",$V96/$W96)</f>
        <v/>
      </c>
      <c r="Y96" s="10" t="str">
        <f aca="false">IF($B96="","",IF(AND($M96="Có",$J96&lt;=Nguong!$B$16,$K96&lt;=Nguong!$B$17,$L96&lt;=Nguong!$B$18,$R96&lt;=INDEX(Nguong!$B$4:$B$8,$D96)),"Đạt","Không đạt"))</f>
        <v/>
      </c>
      <c r="Z96" s="16" t="str">
        <f aca="false">IF($B96="","",IF($D96&gt;=5,"-",INDEX(IF($C96="Supporter",Nguong!$E$4:$E$8,Nguong!$C$4:$C$8),$D96+1)))</f>
        <v/>
      </c>
      <c r="AA96" s="16" t="str">
        <f aca="false">IF($B96="","",INDEX(IF($C96="Supporter",Nguong!$F$4:$F$8,Nguong!$D$4:$D$8),$D96))</f>
        <v/>
      </c>
      <c r="AB96" s="17" t="str">
        <f aca="false">IF($B96="","",IF($Y96="Không đạt",IF($D96=1,"Không đạt ĐK cần – SM/GĐKV xem xét","Xuống Level "&amp;($D96-1)&amp;" (không đạt ĐK cần)"),IF(AND($D96&lt;5,$Z96&lt;&gt;"-",$X96&lt;=$Z96,$N96="Có",$O96="Có"),"Lên Level "&amp;($D96+1),IF($X96&lt;=$AA96,"Giữ Level "&amp;$D96,"Xuống Level "&amp;($D96-1)&amp;" (ngoài ngưỡng giữ)"))))</f>
        <v/>
      </c>
    </row>
    <row r="97" customFormat="false" ht="15" hidden="false" customHeight="false" outlineLevel="0" collapsed="false">
      <c r="A97" s="7"/>
      <c r="B97" s="7"/>
      <c r="C97" s="8"/>
      <c r="D97" s="8"/>
      <c r="E97" s="8"/>
      <c r="F97" s="9"/>
      <c r="G97" s="9"/>
      <c r="H97" s="9"/>
      <c r="I97" s="9"/>
      <c r="J97" s="9"/>
      <c r="K97" s="9"/>
      <c r="L97" s="9"/>
      <c r="M97" s="8"/>
      <c r="N97" s="8"/>
      <c r="O97" s="8"/>
      <c r="P97" s="10" t="str">
        <f aca="false">IF($B97="","",IF(AND($C97="Supporter",$E97=4),3,$E97))</f>
        <v/>
      </c>
      <c r="Q97" s="11" t="str">
        <f aca="false">IF($B97="","",IF($G97&gt;0,$H97/$G97,0))</f>
        <v/>
      </c>
      <c r="R97" s="12" t="str">
        <f aca="false">IF($B97="","",IF($G97&gt;0,$I97/$G97,0))</f>
        <v/>
      </c>
      <c r="S97" s="13" t="str">
        <f aca="false">IF($B97="","",IF($W97&lt;=1,100,COUNTIFS($C$5:$C$204,$C97,$P$5:$P$204,$P97,$F$5:$F$204,"&lt;"&amp;$F97)/($W97-1)*100))</f>
        <v/>
      </c>
      <c r="T97" s="13" t="str">
        <f aca="false">IF($B97="","",IF($C97="Supporter","-",IF($W97&lt;=1,100,COUNTIFS($C$5:$C$204,$C97,$P$5:$P$204,$P97,$Q$5:$Q$204,"&lt;"&amp;$Q97)/($W97-1)*100)))</f>
        <v/>
      </c>
      <c r="U97" s="14" t="str">
        <f aca="false">IF($B97="","",IF($C97="Supporter",$S97,0.85*$S97+0.15*$T97))</f>
        <v/>
      </c>
      <c r="V97" s="10" t="str">
        <f aca="false">IF($B97="","",COUNTIFS($C$5:$C$204,$C97,$P$5:$P$204,$P97,$U$5:$U$204,"&gt;"&amp;$U97)+1)</f>
        <v/>
      </c>
      <c r="W97" s="10" t="str">
        <f aca="false">IF($B97="","",COUNTIFS($C$5:$C$204,$C97,$P$5:$P$204,$P97))</f>
        <v/>
      </c>
      <c r="X97" s="15" t="str">
        <f aca="false">IF($B97="","",$V97/$W97)</f>
        <v/>
      </c>
      <c r="Y97" s="10" t="str">
        <f aca="false">IF($B97="","",IF(AND($M97="Có",$J97&lt;=Nguong!$B$16,$K97&lt;=Nguong!$B$17,$L97&lt;=Nguong!$B$18,$R97&lt;=INDEX(Nguong!$B$4:$B$8,$D97)),"Đạt","Không đạt"))</f>
        <v/>
      </c>
      <c r="Z97" s="16" t="str">
        <f aca="false">IF($B97="","",IF($D97&gt;=5,"-",INDEX(IF($C97="Supporter",Nguong!$E$4:$E$8,Nguong!$C$4:$C$8),$D97+1)))</f>
        <v/>
      </c>
      <c r="AA97" s="16" t="str">
        <f aca="false">IF($B97="","",INDEX(IF($C97="Supporter",Nguong!$F$4:$F$8,Nguong!$D$4:$D$8),$D97))</f>
        <v/>
      </c>
      <c r="AB97" s="17" t="str">
        <f aca="false">IF($B97="","",IF($Y97="Không đạt",IF($D97=1,"Không đạt ĐK cần – SM/GĐKV xem xét","Xuống Level "&amp;($D97-1)&amp;" (không đạt ĐK cần)"),IF(AND($D97&lt;5,$Z97&lt;&gt;"-",$X97&lt;=$Z97,$N97="Có",$O97="Có"),"Lên Level "&amp;($D97+1),IF($X97&lt;=$AA97,"Giữ Level "&amp;$D97,"Xuống Level "&amp;($D97-1)&amp;" (ngoài ngưỡng giữ)"))))</f>
        <v/>
      </c>
    </row>
    <row r="98" customFormat="false" ht="15" hidden="false" customHeight="false" outlineLevel="0" collapsed="false">
      <c r="A98" s="7"/>
      <c r="B98" s="7"/>
      <c r="C98" s="8"/>
      <c r="D98" s="8"/>
      <c r="E98" s="8"/>
      <c r="F98" s="9"/>
      <c r="G98" s="9"/>
      <c r="H98" s="9"/>
      <c r="I98" s="9"/>
      <c r="J98" s="9"/>
      <c r="K98" s="9"/>
      <c r="L98" s="9"/>
      <c r="M98" s="8"/>
      <c r="N98" s="8"/>
      <c r="O98" s="8"/>
      <c r="P98" s="10" t="str">
        <f aca="false">IF($B98="","",IF(AND($C98="Supporter",$E98=4),3,$E98))</f>
        <v/>
      </c>
      <c r="Q98" s="11" t="str">
        <f aca="false">IF($B98="","",IF($G98&gt;0,$H98/$G98,0))</f>
        <v/>
      </c>
      <c r="R98" s="12" t="str">
        <f aca="false">IF($B98="","",IF($G98&gt;0,$I98/$G98,0))</f>
        <v/>
      </c>
      <c r="S98" s="13" t="str">
        <f aca="false">IF($B98="","",IF($W98&lt;=1,100,COUNTIFS($C$5:$C$204,$C98,$P$5:$P$204,$P98,$F$5:$F$204,"&lt;"&amp;$F98)/($W98-1)*100))</f>
        <v/>
      </c>
      <c r="T98" s="13" t="str">
        <f aca="false">IF($B98="","",IF($C98="Supporter","-",IF($W98&lt;=1,100,COUNTIFS($C$5:$C$204,$C98,$P$5:$P$204,$P98,$Q$5:$Q$204,"&lt;"&amp;$Q98)/($W98-1)*100)))</f>
        <v/>
      </c>
      <c r="U98" s="14" t="str">
        <f aca="false">IF($B98="","",IF($C98="Supporter",$S98,0.85*$S98+0.15*$T98))</f>
        <v/>
      </c>
      <c r="V98" s="10" t="str">
        <f aca="false">IF($B98="","",COUNTIFS($C$5:$C$204,$C98,$P$5:$P$204,$P98,$U$5:$U$204,"&gt;"&amp;$U98)+1)</f>
        <v/>
      </c>
      <c r="W98" s="10" t="str">
        <f aca="false">IF($B98="","",COUNTIFS($C$5:$C$204,$C98,$P$5:$P$204,$P98))</f>
        <v/>
      </c>
      <c r="X98" s="15" t="str">
        <f aca="false">IF($B98="","",$V98/$W98)</f>
        <v/>
      </c>
      <c r="Y98" s="10" t="str">
        <f aca="false">IF($B98="","",IF(AND($M98="Có",$J98&lt;=Nguong!$B$16,$K98&lt;=Nguong!$B$17,$L98&lt;=Nguong!$B$18,$R98&lt;=INDEX(Nguong!$B$4:$B$8,$D98)),"Đạt","Không đạt"))</f>
        <v/>
      </c>
      <c r="Z98" s="16" t="str">
        <f aca="false">IF($B98="","",IF($D98&gt;=5,"-",INDEX(IF($C98="Supporter",Nguong!$E$4:$E$8,Nguong!$C$4:$C$8),$D98+1)))</f>
        <v/>
      </c>
      <c r="AA98" s="16" t="str">
        <f aca="false">IF($B98="","",INDEX(IF($C98="Supporter",Nguong!$F$4:$F$8,Nguong!$D$4:$D$8),$D98))</f>
        <v/>
      </c>
      <c r="AB98" s="17" t="str">
        <f aca="false">IF($B98="","",IF($Y98="Không đạt",IF($D98=1,"Không đạt ĐK cần – SM/GĐKV xem xét","Xuống Level "&amp;($D98-1)&amp;" (không đạt ĐK cần)"),IF(AND($D98&lt;5,$Z98&lt;&gt;"-",$X98&lt;=$Z98,$N98="Có",$O98="Có"),"Lên Level "&amp;($D98+1),IF($X98&lt;=$AA98,"Giữ Level "&amp;$D98,"Xuống Level "&amp;($D98-1)&amp;" (ngoài ngưỡng giữ)"))))</f>
        <v/>
      </c>
    </row>
    <row r="99" customFormat="false" ht="15" hidden="false" customHeight="false" outlineLevel="0" collapsed="false">
      <c r="A99" s="7"/>
      <c r="B99" s="7"/>
      <c r="C99" s="8"/>
      <c r="D99" s="8"/>
      <c r="E99" s="8"/>
      <c r="F99" s="9"/>
      <c r="G99" s="9"/>
      <c r="H99" s="9"/>
      <c r="I99" s="9"/>
      <c r="J99" s="9"/>
      <c r="K99" s="9"/>
      <c r="L99" s="9"/>
      <c r="M99" s="8"/>
      <c r="N99" s="8"/>
      <c r="O99" s="8"/>
      <c r="P99" s="10" t="str">
        <f aca="false">IF($B99="","",IF(AND($C99="Supporter",$E99=4),3,$E99))</f>
        <v/>
      </c>
      <c r="Q99" s="11" t="str">
        <f aca="false">IF($B99="","",IF($G99&gt;0,$H99/$G99,0))</f>
        <v/>
      </c>
      <c r="R99" s="12" t="str">
        <f aca="false">IF($B99="","",IF($G99&gt;0,$I99/$G99,0))</f>
        <v/>
      </c>
      <c r="S99" s="13" t="str">
        <f aca="false">IF($B99="","",IF($W99&lt;=1,100,COUNTIFS($C$5:$C$204,$C99,$P$5:$P$204,$P99,$F$5:$F$204,"&lt;"&amp;$F99)/($W99-1)*100))</f>
        <v/>
      </c>
      <c r="T99" s="13" t="str">
        <f aca="false">IF($B99="","",IF($C99="Supporter","-",IF($W99&lt;=1,100,COUNTIFS($C$5:$C$204,$C99,$P$5:$P$204,$P99,$Q$5:$Q$204,"&lt;"&amp;$Q99)/($W99-1)*100)))</f>
        <v/>
      </c>
      <c r="U99" s="14" t="str">
        <f aca="false">IF($B99="","",IF($C99="Supporter",$S99,0.85*$S99+0.15*$T99))</f>
        <v/>
      </c>
      <c r="V99" s="10" t="str">
        <f aca="false">IF($B99="","",COUNTIFS($C$5:$C$204,$C99,$P$5:$P$204,$P99,$U$5:$U$204,"&gt;"&amp;$U99)+1)</f>
        <v/>
      </c>
      <c r="W99" s="10" t="str">
        <f aca="false">IF($B99="","",COUNTIFS($C$5:$C$204,$C99,$P$5:$P$204,$P99))</f>
        <v/>
      </c>
      <c r="X99" s="15" t="str">
        <f aca="false">IF($B99="","",$V99/$W99)</f>
        <v/>
      </c>
      <c r="Y99" s="10" t="str">
        <f aca="false">IF($B99="","",IF(AND($M99="Có",$J99&lt;=Nguong!$B$16,$K99&lt;=Nguong!$B$17,$L99&lt;=Nguong!$B$18,$R99&lt;=INDEX(Nguong!$B$4:$B$8,$D99)),"Đạt","Không đạt"))</f>
        <v/>
      </c>
      <c r="Z99" s="16" t="str">
        <f aca="false">IF($B99="","",IF($D99&gt;=5,"-",INDEX(IF($C99="Supporter",Nguong!$E$4:$E$8,Nguong!$C$4:$C$8),$D99+1)))</f>
        <v/>
      </c>
      <c r="AA99" s="16" t="str">
        <f aca="false">IF($B99="","",INDEX(IF($C99="Supporter",Nguong!$F$4:$F$8,Nguong!$D$4:$D$8),$D99))</f>
        <v/>
      </c>
      <c r="AB99" s="17" t="str">
        <f aca="false">IF($B99="","",IF($Y99="Không đạt",IF($D99=1,"Không đạt ĐK cần – SM/GĐKV xem xét","Xuống Level "&amp;($D99-1)&amp;" (không đạt ĐK cần)"),IF(AND($D99&lt;5,$Z99&lt;&gt;"-",$X99&lt;=$Z99,$N99="Có",$O99="Có"),"Lên Level "&amp;($D99+1),IF($X99&lt;=$AA99,"Giữ Level "&amp;$D99,"Xuống Level "&amp;($D99-1)&amp;" (ngoài ngưỡng giữ)"))))</f>
        <v/>
      </c>
    </row>
    <row r="100" customFormat="false" ht="15" hidden="false" customHeight="false" outlineLevel="0" collapsed="false">
      <c r="A100" s="7"/>
      <c r="B100" s="7"/>
      <c r="C100" s="8"/>
      <c r="D100" s="8"/>
      <c r="E100" s="8"/>
      <c r="F100" s="9"/>
      <c r="G100" s="9"/>
      <c r="H100" s="9"/>
      <c r="I100" s="9"/>
      <c r="J100" s="9"/>
      <c r="K100" s="9"/>
      <c r="L100" s="9"/>
      <c r="M100" s="8"/>
      <c r="N100" s="8"/>
      <c r="O100" s="8"/>
      <c r="P100" s="10" t="str">
        <f aca="false">IF($B100="","",IF(AND($C100="Supporter",$E100=4),3,$E100))</f>
        <v/>
      </c>
      <c r="Q100" s="11" t="str">
        <f aca="false">IF($B100="","",IF($G100&gt;0,$H100/$G100,0))</f>
        <v/>
      </c>
      <c r="R100" s="12" t="str">
        <f aca="false">IF($B100="","",IF($G100&gt;0,$I100/$G100,0))</f>
        <v/>
      </c>
      <c r="S100" s="13" t="str">
        <f aca="false">IF($B100="","",IF($W100&lt;=1,100,COUNTIFS($C$5:$C$204,$C100,$P$5:$P$204,$P100,$F$5:$F$204,"&lt;"&amp;$F100)/($W100-1)*100))</f>
        <v/>
      </c>
      <c r="T100" s="13" t="str">
        <f aca="false">IF($B100="","",IF($C100="Supporter","-",IF($W100&lt;=1,100,COUNTIFS($C$5:$C$204,$C100,$P$5:$P$204,$P100,$Q$5:$Q$204,"&lt;"&amp;$Q100)/($W100-1)*100)))</f>
        <v/>
      </c>
      <c r="U100" s="14" t="str">
        <f aca="false">IF($B100="","",IF($C100="Supporter",$S100,0.85*$S100+0.15*$T100))</f>
        <v/>
      </c>
      <c r="V100" s="10" t="str">
        <f aca="false">IF($B100="","",COUNTIFS($C$5:$C$204,$C100,$P$5:$P$204,$P100,$U$5:$U$204,"&gt;"&amp;$U100)+1)</f>
        <v/>
      </c>
      <c r="W100" s="10" t="str">
        <f aca="false">IF($B100="","",COUNTIFS($C$5:$C$204,$C100,$P$5:$P$204,$P100))</f>
        <v/>
      </c>
      <c r="X100" s="15" t="str">
        <f aca="false">IF($B100="","",$V100/$W100)</f>
        <v/>
      </c>
      <c r="Y100" s="10" t="str">
        <f aca="false">IF($B100="","",IF(AND($M100="Có",$J100&lt;=Nguong!$B$16,$K100&lt;=Nguong!$B$17,$L100&lt;=Nguong!$B$18,$R100&lt;=INDEX(Nguong!$B$4:$B$8,$D100)),"Đạt","Không đạt"))</f>
        <v/>
      </c>
      <c r="Z100" s="16" t="str">
        <f aca="false">IF($B100="","",IF($D100&gt;=5,"-",INDEX(IF($C100="Supporter",Nguong!$E$4:$E$8,Nguong!$C$4:$C$8),$D100+1)))</f>
        <v/>
      </c>
      <c r="AA100" s="16" t="str">
        <f aca="false">IF($B100="","",INDEX(IF($C100="Supporter",Nguong!$F$4:$F$8,Nguong!$D$4:$D$8),$D100))</f>
        <v/>
      </c>
      <c r="AB100" s="17" t="str">
        <f aca="false">IF($B100="","",IF($Y100="Không đạt",IF($D100=1,"Không đạt ĐK cần – SM/GĐKV xem xét","Xuống Level "&amp;($D100-1)&amp;" (không đạt ĐK cần)"),IF(AND($D100&lt;5,$Z100&lt;&gt;"-",$X100&lt;=$Z100,$N100="Có",$O100="Có"),"Lên Level "&amp;($D100+1),IF($X100&lt;=$AA100,"Giữ Level "&amp;$D100,"Xuống Level "&amp;($D100-1)&amp;" (ngoài ngưỡng giữ)"))))</f>
        <v/>
      </c>
    </row>
    <row r="101" customFormat="false" ht="15" hidden="false" customHeight="false" outlineLevel="0" collapsed="false">
      <c r="A101" s="7"/>
      <c r="B101" s="7"/>
      <c r="C101" s="8"/>
      <c r="D101" s="8"/>
      <c r="E101" s="8"/>
      <c r="F101" s="9"/>
      <c r="G101" s="9"/>
      <c r="H101" s="9"/>
      <c r="I101" s="9"/>
      <c r="J101" s="9"/>
      <c r="K101" s="9"/>
      <c r="L101" s="9"/>
      <c r="M101" s="8"/>
      <c r="N101" s="8"/>
      <c r="O101" s="8"/>
      <c r="P101" s="10" t="str">
        <f aca="false">IF($B101="","",IF(AND($C101="Supporter",$E101=4),3,$E101))</f>
        <v/>
      </c>
      <c r="Q101" s="11" t="str">
        <f aca="false">IF($B101="","",IF($G101&gt;0,$H101/$G101,0))</f>
        <v/>
      </c>
      <c r="R101" s="12" t="str">
        <f aca="false">IF($B101="","",IF($G101&gt;0,$I101/$G101,0))</f>
        <v/>
      </c>
      <c r="S101" s="13" t="str">
        <f aca="false">IF($B101="","",IF($W101&lt;=1,100,COUNTIFS($C$5:$C$204,$C101,$P$5:$P$204,$P101,$F$5:$F$204,"&lt;"&amp;$F101)/($W101-1)*100))</f>
        <v/>
      </c>
      <c r="T101" s="13" t="str">
        <f aca="false">IF($B101="","",IF($C101="Supporter","-",IF($W101&lt;=1,100,COUNTIFS($C$5:$C$204,$C101,$P$5:$P$204,$P101,$Q$5:$Q$204,"&lt;"&amp;$Q101)/($W101-1)*100)))</f>
        <v/>
      </c>
      <c r="U101" s="14" t="str">
        <f aca="false">IF($B101="","",IF($C101="Supporter",$S101,0.85*$S101+0.15*$T101))</f>
        <v/>
      </c>
      <c r="V101" s="10" t="str">
        <f aca="false">IF($B101="","",COUNTIFS($C$5:$C$204,$C101,$P$5:$P$204,$P101,$U$5:$U$204,"&gt;"&amp;$U101)+1)</f>
        <v/>
      </c>
      <c r="W101" s="10" t="str">
        <f aca="false">IF($B101="","",COUNTIFS($C$5:$C$204,$C101,$P$5:$P$204,$P101))</f>
        <v/>
      </c>
      <c r="X101" s="15" t="str">
        <f aca="false">IF($B101="","",$V101/$W101)</f>
        <v/>
      </c>
      <c r="Y101" s="10" t="str">
        <f aca="false">IF($B101="","",IF(AND($M101="Có",$J101&lt;=Nguong!$B$16,$K101&lt;=Nguong!$B$17,$L101&lt;=Nguong!$B$18,$R101&lt;=INDEX(Nguong!$B$4:$B$8,$D101)),"Đạt","Không đạt"))</f>
        <v/>
      </c>
      <c r="Z101" s="16" t="str">
        <f aca="false">IF($B101="","",IF($D101&gt;=5,"-",INDEX(IF($C101="Supporter",Nguong!$E$4:$E$8,Nguong!$C$4:$C$8),$D101+1)))</f>
        <v/>
      </c>
      <c r="AA101" s="16" t="str">
        <f aca="false">IF($B101="","",INDEX(IF($C101="Supporter",Nguong!$F$4:$F$8,Nguong!$D$4:$D$8),$D101))</f>
        <v/>
      </c>
      <c r="AB101" s="17" t="str">
        <f aca="false">IF($B101="","",IF($Y101="Không đạt",IF($D101=1,"Không đạt ĐK cần – SM/GĐKV xem xét","Xuống Level "&amp;($D101-1)&amp;" (không đạt ĐK cần)"),IF(AND($D101&lt;5,$Z101&lt;&gt;"-",$X101&lt;=$Z101,$N101="Có",$O101="Có"),"Lên Level "&amp;($D101+1),IF($X101&lt;=$AA101,"Giữ Level "&amp;$D101,"Xuống Level "&amp;($D101-1)&amp;" (ngoài ngưỡng giữ)"))))</f>
        <v/>
      </c>
    </row>
    <row r="102" customFormat="false" ht="15" hidden="false" customHeight="false" outlineLevel="0" collapsed="false">
      <c r="A102" s="7"/>
      <c r="B102" s="7"/>
      <c r="C102" s="8"/>
      <c r="D102" s="8"/>
      <c r="E102" s="8"/>
      <c r="F102" s="9"/>
      <c r="G102" s="9"/>
      <c r="H102" s="9"/>
      <c r="I102" s="9"/>
      <c r="J102" s="9"/>
      <c r="K102" s="9"/>
      <c r="L102" s="9"/>
      <c r="M102" s="8"/>
      <c r="N102" s="8"/>
      <c r="O102" s="8"/>
      <c r="P102" s="10" t="str">
        <f aca="false">IF($B102="","",IF(AND($C102="Supporter",$E102=4),3,$E102))</f>
        <v/>
      </c>
      <c r="Q102" s="11" t="str">
        <f aca="false">IF($B102="","",IF($G102&gt;0,$H102/$G102,0))</f>
        <v/>
      </c>
      <c r="R102" s="12" t="str">
        <f aca="false">IF($B102="","",IF($G102&gt;0,$I102/$G102,0))</f>
        <v/>
      </c>
      <c r="S102" s="13" t="str">
        <f aca="false">IF($B102="","",IF($W102&lt;=1,100,COUNTIFS($C$5:$C$204,$C102,$P$5:$P$204,$P102,$F$5:$F$204,"&lt;"&amp;$F102)/($W102-1)*100))</f>
        <v/>
      </c>
      <c r="T102" s="13" t="str">
        <f aca="false">IF($B102="","",IF($C102="Supporter","-",IF($W102&lt;=1,100,COUNTIFS($C$5:$C$204,$C102,$P$5:$P$204,$P102,$Q$5:$Q$204,"&lt;"&amp;$Q102)/($W102-1)*100)))</f>
        <v/>
      </c>
      <c r="U102" s="14" t="str">
        <f aca="false">IF($B102="","",IF($C102="Supporter",$S102,0.85*$S102+0.15*$T102))</f>
        <v/>
      </c>
      <c r="V102" s="10" t="str">
        <f aca="false">IF($B102="","",COUNTIFS($C$5:$C$204,$C102,$P$5:$P$204,$P102,$U$5:$U$204,"&gt;"&amp;$U102)+1)</f>
        <v/>
      </c>
      <c r="W102" s="10" t="str">
        <f aca="false">IF($B102="","",COUNTIFS($C$5:$C$204,$C102,$P$5:$P$204,$P102))</f>
        <v/>
      </c>
      <c r="X102" s="15" t="str">
        <f aca="false">IF($B102="","",$V102/$W102)</f>
        <v/>
      </c>
      <c r="Y102" s="10" t="str">
        <f aca="false">IF($B102="","",IF(AND($M102="Có",$J102&lt;=Nguong!$B$16,$K102&lt;=Nguong!$B$17,$L102&lt;=Nguong!$B$18,$R102&lt;=INDEX(Nguong!$B$4:$B$8,$D102)),"Đạt","Không đạt"))</f>
        <v/>
      </c>
      <c r="Z102" s="16" t="str">
        <f aca="false">IF($B102="","",IF($D102&gt;=5,"-",INDEX(IF($C102="Supporter",Nguong!$E$4:$E$8,Nguong!$C$4:$C$8),$D102+1)))</f>
        <v/>
      </c>
      <c r="AA102" s="16" t="str">
        <f aca="false">IF($B102="","",INDEX(IF($C102="Supporter",Nguong!$F$4:$F$8,Nguong!$D$4:$D$8),$D102))</f>
        <v/>
      </c>
      <c r="AB102" s="17" t="str">
        <f aca="false">IF($B102="","",IF($Y102="Không đạt",IF($D102=1,"Không đạt ĐK cần – SM/GĐKV xem xét","Xuống Level "&amp;($D102-1)&amp;" (không đạt ĐK cần)"),IF(AND($D102&lt;5,$Z102&lt;&gt;"-",$X102&lt;=$Z102,$N102="Có",$O102="Có"),"Lên Level "&amp;($D102+1),IF($X102&lt;=$AA102,"Giữ Level "&amp;$D102,"Xuống Level "&amp;($D102-1)&amp;" (ngoài ngưỡng giữ)"))))</f>
        <v/>
      </c>
    </row>
    <row r="103" customFormat="false" ht="15" hidden="false" customHeight="false" outlineLevel="0" collapsed="false">
      <c r="A103" s="7"/>
      <c r="B103" s="7"/>
      <c r="C103" s="8"/>
      <c r="D103" s="8"/>
      <c r="E103" s="8"/>
      <c r="F103" s="9"/>
      <c r="G103" s="9"/>
      <c r="H103" s="9"/>
      <c r="I103" s="9"/>
      <c r="J103" s="9"/>
      <c r="K103" s="9"/>
      <c r="L103" s="9"/>
      <c r="M103" s="8"/>
      <c r="N103" s="8"/>
      <c r="O103" s="8"/>
      <c r="P103" s="10" t="str">
        <f aca="false">IF($B103="","",IF(AND($C103="Supporter",$E103=4),3,$E103))</f>
        <v/>
      </c>
      <c r="Q103" s="11" t="str">
        <f aca="false">IF($B103="","",IF($G103&gt;0,$H103/$G103,0))</f>
        <v/>
      </c>
      <c r="R103" s="12" t="str">
        <f aca="false">IF($B103="","",IF($G103&gt;0,$I103/$G103,0))</f>
        <v/>
      </c>
      <c r="S103" s="13" t="str">
        <f aca="false">IF($B103="","",IF($W103&lt;=1,100,COUNTIFS($C$5:$C$204,$C103,$P$5:$P$204,$P103,$F$5:$F$204,"&lt;"&amp;$F103)/($W103-1)*100))</f>
        <v/>
      </c>
      <c r="T103" s="13" t="str">
        <f aca="false">IF($B103="","",IF($C103="Supporter","-",IF($W103&lt;=1,100,COUNTIFS($C$5:$C$204,$C103,$P$5:$P$204,$P103,$Q$5:$Q$204,"&lt;"&amp;$Q103)/($W103-1)*100)))</f>
        <v/>
      </c>
      <c r="U103" s="14" t="str">
        <f aca="false">IF($B103="","",IF($C103="Supporter",$S103,0.85*$S103+0.15*$T103))</f>
        <v/>
      </c>
      <c r="V103" s="10" t="str">
        <f aca="false">IF($B103="","",COUNTIFS($C$5:$C$204,$C103,$P$5:$P$204,$P103,$U$5:$U$204,"&gt;"&amp;$U103)+1)</f>
        <v/>
      </c>
      <c r="W103" s="10" t="str">
        <f aca="false">IF($B103="","",COUNTIFS($C$5:$C$204,$C103,$P$5:$P$204,$P103))</f>
        <v/>
      </c>
      <c r="X103" s="15" t="str">
        <f aca="false">IF($B103="","",$V103/$W103)</f>
        <v/>
      </c>
      <c r="Y103" s="10" t="str">
        <f aca="false">IF($B103="","",IF(AND($M103="Có",$J103&lt;=Nguong!$B$16,$K103&lt;=Nguong!$B$17,$L103&lt;=Nguong!$B$18,$R103&lt;=INDEX(Nguong!$B$4:$B$8,$D103)),"Đạt","Không đạt"))</f>
        <v/>
      </c>
      <c r="Z103" s="16" t="str">
        <f aca="false">IF($B103="","",IF($D103&gt;=5,"-",INDEX(IF($C103="Supporter",Nguong!$E$4:$E$8,Nguong!$C$4:$C$8),$D103+1)))</f>
        <v/>
      </c>
      <c r="AA103" s="16" t="str">
        <f aca="false">IF($B103="","",INDEX(IF($C103="Supporter",Nguong!$F$4:$F$8,Nguong!$D$4:$D$8),$D103))</f>
        <v/>
      </c>
      <c r="AB103" s="17" t="str">
        <f aca="false">IF($B103="","",IF($Y103="Không đạt",IF($D103=1,"Không đạt ĐK cần – SM/GĐKV xem xét","Xuống Level "&amp;($D103-1)&amp;" (không đạt ĐK cần)"),IF(AND($D103&lt;5,$Z103&lt;&gt;"-",$X103&lt;=$Z103,$N103="Có",$O103="Có"),"Lên Level "&amp;($D103+1),IF($X103&lt;=$AA103,"Giữ Level "&amp;$D103,"Xuống Level "&amp;($D103-1)&amp;" (ngoài ngưỡng giữ)"))))</f>
        <v/>
      </c>
    </row>
    <row r="104" customFormat="false" ht="15" hidden="false" customHeight="false" outlineLevel="0" collapsed="false">
      <c r="A104" s="7"/>
      <c r="B104" s="7"/>
      <c r="C104" s="8"/>
      <c r="D104" s="8"/>
      <c r="E104" s="8"/>
      <c r="F104" s="9"/>
      <c r="G104" s="9"/>
      <c r="H104" s="9"/>
      <c r="I104" s="9"/>
      <c r="J104" s="9"/>
      <c r="K104" s="9"/>
      <c r="L104" s="9"/>
      <c r="M104" s="8"/>
      <c r="N104" s="8"/>
      <c r="O104" s="8"/>
      <c r="P104" s="10" t="str">
        <f aca="false">IF($B104="","",IF(AND($C104="Supporter",$E104=4),3,$E104))</f>
        <v/>
      </c>
      <c r="Q104" s="11" t="str">
        <f aca="false">IF($B104="","",IF($G104&gt;0,$H104/$G104,0))</f>
        <v/>
      </c>
      <c r="R104" s="12" t="str">
        <f aca="false">IF($B104="","",IF($G104&gt;0,$I104/$G104,0))</f>
        <v/>
      </c>
      <c r="S104" s="13" t="str">
        <f aca="false">IF($B104="","",IF($W104&lt;=1,100,COUNTIFS($C$5:$C$204,$C104,$P$5:$P$204,$P104,$F$5:$F$204,"&lt;"&amp;$F104)/($W104-1)*100))</f>
        <v/>
      </c>
      <c r="T104" s="13" t="str">
        <f aca="false">IF($B104="","",IF($C104="Supporter","-",IF($W104&lt;=1,100,COUNTIFS($C$5:$C$204,$C104,$P$5:$P$204,$P104,$Q$5:$Q$204,"&lt;"&amp;$Q104)/($W104-1)*100)))</f>
        <v/>
      </c>
      <c r="U104" s="14" t="str">
        <f aca="false">IF($B104="","",IF($C104="Supporter",$S104,0.85*$S104+0.15*$T104))</f>
        <v/>
      </c>
      <c r="V104" s="10" t="str">
        <f aca="false">IF($B104="","",COUNTIFS($C$5:$C$204,$C104,$P$5:$P$204,$P104,$U$5:$U$204,"&gt;"&amp;$U104)+1)</f>
        <v/>
      </c>
      <c r="W104" s="10" t="str">
        <f aca="false">IF($B104="","",COUNTIFS($C$5:$C$204,$C104,$P$5:$P$204,$P104))</f>
        <v/>
      </c>
      <c r="X104" s="15" t="str">
        <f aca="false">IF($B104="","",$V104/$W104)</f>
        <v/>
      </c>
      <c r="Y104" s="10" t="str">
        <f aca="false">IF($B104="","",IF(AND($M104="Có",$J104&lt;=Nguong!$B$16,$K104&lt;=Nguong!$B$17,$L104&lt;=Nguong!$B$18,$R104&lt;=INDEX(Nguong!$B$4:$B$8,$D104)),"Đạt","Không đạt"))</f>
        <v/>
      </c>
      <c r="Z104" s="16" t="str">
        <f aca="false">IF($B104="","",IF($D104&gt;=5,"-",INDEX(IF($C104="Supporter",Nguong!$E$4:$E$8,Nguong!$C$4:$C$8),$D104+1)))</f>
        <v/>
      </c>
      <c r="AA104" s="16" t="str">
        <f aca="false">IF($B104="","",INDEX(IF($C104="Supporter",Nguong!$F$4:$F$8,Nguong!$D$4:$D$8),$D104))</f>
        <v/>
      </c>
      <c r="AB104" s="17" t="str">
        <f aca="false">IF($B104="","",IF($Y104="Không đạt",IF($D104=1,"Không đạt ĐK cần – SM/GĐKV xem xét","Xuống Level "&amp;($D104-1)&amp;" (không đạt ĐK cần)"),IF(AND($D104&lt;5,$Z104&lt;&gt;"-",$X104&lt;=$Z104,$N104="Có",$O104="Có"),"Lên Level "&amp;($D104+1),IF($X104&lt;=$AA104,"Giữ Level "&amp;$D104,"Xuống Level "&amp;($D104-1)&amp;" (ngoài ngưỡng giữ)"))))</f>
        <v/>
      </c>
    </row>
    <row r="105" customFormat="false" ht="15" hidden="false" customHeight="false" outlineLevel="0" collapsed="false">
      <c r="A105" s="7"/>
      <c r="B105" s="7"/>
      <c r="C105" s="8"/>
      <c r="D105" s="8"/>
      <c r="E105" s="8"/>
      <c r="F105" s="9"/>
      <c r="G105" s="9"/>
      <c r="H105" s="9"/>
      <c r="I105" s="9"/>
      <c r="J105" s="9"/>
      <c r="K105" s="9"/>
      <c r="L105" s="9"/>
      <c r="M105" s="8"/>
      <c r="N105" s="8"/>
      <c r="O105" s="8"/>
      <c r="P105" s="10" t="str">
        <f aca="false">IF($B105="","",IF(AND($C105="Supporter",$E105=4),3,$E105))</f>
        <v/>
      </c>
      <c r="Q105" s="11" t="str">
        <f aca="false">IF($B105="","",IF($G105&gt;0,$H105/$G105,0))</f>
        <v/>
      </c>
      <c r="R105" s="12" t="str">
        <f aca="false">IF($B105="","",IF($G105&gt;0,$I105/$G105,0))</f>
        <v/>
      </c>
      <c r="S105" s="13" t="str">
        <f aca="false">IF($B105="","",IF($W105&lt;=1,100,COUNTIFS($C$5:$C$204,$C105,$P$5:$P$204,$P105,$F$5:$F$204,"&lt;"&amp;$F105)/($W105-1)*100))</f>
        <v/>
      </c>
      <c r="T105" s="13" t="str">
        <f aca="false">IF($B105="","",IF($C105="Supporter","-",IF($W105&lt;=1,100,COUNTIFS($C$5:$C$204,$C105,$P$5:$P$204,$P105,$Q$5:$Q$204,"&lt;"&amp;$Q105)/($W105-1)*100)))</f>
        <v/>
      </c>
      <c r="U105" s="14" t="str">
        <f aca="false">IF($B105="","",IF($C105="Supporter",$S105,0.85*$S105+0.15*$T105))</f>
        <v/>
      </c>
      <c r="V105" s="10" t="str">
        <f aca="false">IF($B105="","",COUNTIFS($C$5:$C$204,$C105,$P$5:$P$204,$P105,$U$5:$U$204,"&gt;"&amp;$U105)+1)</f>
        <v/>
      </c>
      <c r="W105" s="10" t="str">
        <f aca="false">IF($B105="","",COUNTIFS($C$5:$C$204,$C105,$P$5:$P$204,$P105))</f>
        <v/>
      </c>
      <c r="X105" s="15" t="str">
        <f aca="false">IF($B105="","",$V105/$W105)</f>
        <v/>
      </c>
      <c r="Y105" s="10" t="str">
        <f aca="false">IF($B105="","",IF(AND($M105="Có",$J105&lt;=Nguong!$B$16,$K105&lt;=Nguong!$B$17,$L105&lt;=Nguong!$B$18,$R105&lt;=INDEX(Nguong!$B$4:$B$8,$D105)),"Đạt","Không đạt"))</f>
        <v/>
      </c>
      <c r="Z105" s="16" t="str">
        <f aca="false">IF($B105="","",IF($D105&gt;=5,"-",INDEX(IF($C105="Supporter",Nguong!$E$4:$E$8,Nguong!$C$4:$C$8),$D105+1)))</f>
        <v/>
      </c>
      <c r="AA105" s="16" t="str">
        <f aca="false">IF($B105="","",INDEX(IF($C105="Supporter",Nguong!$F$4:$F$8,Nguong!$D$4:$D$8),$D105))</f>
        <v/>
      </c>
      <c r="AB105" s="17" t="str">
        <f aca="false">IF($B105="","",IF($Y105="Không đạt",IF($D105=1,"Không đạt ĐK cần – SM/GĐKV xem xét","Xuống Level "&amp;($D105-1)&amp;" (không đạt ĐK cần)"),IF(AND($D105&lt;5,$Z105&lt;&gt;"-",$X105&lt;=$Z105,$N105="Có",$O105="Có"),"Lên Level "&amp;($D105+1),IF($X105&lt;=$AA105,"Giữ Level "&amp;$D105,"Xuống Level "&amp;($D105-1)&amp;" (ngoài ngưỡng giữ)"))))</f>
        <v/>
      </c>
    </row>
    <row r="106" customFormat="false" ht="15" hidden="false" customHeight="false" outlineLevel="0" collapsed="false">
      <c r="A106" s="7"/>
      <c r="B106" s="7"/>
      <c r="C106" s="8"/>
      <c r="D106" s="8"/>
      <c r="E106" s="8"/>
      <c r="F106" s="9"/>
      <c r="G106" s="9"/>
      <c r="H106" s="9"/>
      <c r="I106" s="9"/>
      <c r="J106" s="9"/>
      <c r="K106" s="9"/>
      <c r="L106" s="9"/>
      <c r="M106" s="8"/>
      <c r="N106" s="8"/>
      <c r="O106" s="8"/>
      <c r="P106" s="10" t="str">
        <f aca="false">IF($B106="","",IF(AND($C106="Supporter",$E106=4),3,$E106))</f>
        <v/>
      </c>
      <c r="Q106" s="11" t="str">
        <f aca="false">IF($B106="","",IF($G106&gt;0,$H106/$G106,0))</f>
        <v/>
      </c>
      <c r="R106" s="12" t="str">
        <f aca="false">IF($B106="","",IF($G106&gt;0,$I106/$G106,0))</f>
        <v/>
      </c>
      <c r="S106" s="13" t="str">
        <f aca="false">IF($B106="","",IF($W106&lt;=1,100,COUNTIFS($C$5:$C$204,$C106,$P$5:$P$204,$P106,$F$5:$F$204,"&lt;"&amp;$F106)/($W106-1)*100))</f>
        <v/>
      </c>
      <c r="T106" s="13" t="str">
        <f aca="false">IF($B106="","",IF($C106="Supporter","-",IF($W106&lt;=1,100,COUNTIFS($C$5:$C$204,$C106,$P$5:$P$204,$P106,$Q$5:$Q$204,"&lt;"&amp;$Q106)/($W106-1)*100)))</f>
        <v/>
      </c>
      <c r="U106" s="14" t="str">
        <f aca="false">IF($B106="","",IF($C106="Supporter",$S106,0.85*$S106+0.15*$T106))</f>
        <v/>
      </c>
      <c r="V106" s="10" t="str">
        <f aca="false">IF($B106="","",COUNTIFS($C$5:$C$204,$C106,$P$5:$P$204,$P106,$U$5:$U$204,"&gt;"&amp;$U106)+1)</f>
        <v/>
      </c>
      <c r="W106" s="10" t="str">
        <f aca="false">IF($B106="","",COUNTIFS($C$5:$C$204,$C106,$P$5:$P$204,$P106))</f>
        <v/>
      </c>
      <c r="X106" s="15" t="str">
        <f aca="false">IF($B106="","",$V106/$W106)</f>
        <v/>
      </c>
      <c r="Y106" s="10" t="str">
        <f aca="false">IF($B106="","",IF(AND($M106="Có",$J106&lt;=Nguong!$B$16,$K106&lt;=Nguong!$B$17,$L106&lt;=Nguong!$B$18,$R106&lt;=INDEX(Nguong!$B$4:$B$8,$D106)),"Đạt","Không đạt"))</f>
        <v/>
      </c>
      <c r="Z106" s="16" t="str">
        <f aca="false">IF($B106="","",IF($D106&gt;=5,"-",INDEX(IF($C106="Supporter",Nguong!$E$4:$E$8,Nguong!$C$4:$C$8),$D106+1)))</f>
        <v/>
      </c>
      <c r="AA106" s="16" t="str">
        <f aca="false">IF($B106="","",INDEX(IF($C106="Supporter",Nguong!$F$4:$F$8,Nguong!$D$4:$D$8),$D106))</f>
        <v/>
      </c>
      <c r="AB106" s="17" t="str">
        <f aca="false">IF($B106="","",IF($Y106="Không đạt",IF($D106=1,"Không đạt ĐK cần – SM/GĐKV xem xét","Xuống Level "&amp;($D106-1)&amp;" (không đạt ĐK cần)"),IF(AND($D106&lt;5,$Z106&lt;&gt;"-",$X106&lt;=$Z106,$N106="Có",$O106="Có"),"Lên Level "&amp;($D106+1),IF($X106&lt;=$AA106,"Giữ Level "&amp;$D106,"Xuống Level "&amp;($D106-1)&amp;" (ngoài ngưỡng giữ)"))))</f>
        <v/>
      </c>
    </row>
    <row r="107" customFormat="false" ht="15" hidden="false" customHeight="false" outlineLevel="0" collapsed="false">
      <c r="A107" s="7"/>
      <c r="B107" s="7"/>
      <c r="C107" s="8"/>
      <c r="D107" s="8"/>
      <c r="E107" s="8"/>
      <c r="F107" s="9"/>
      <c r="G107" s="9"/>
      <c r="H107" s="9"/>
      <c r="I107" s="9"/>
      <c r="J107" s="9"/>
      <c r="K107" s="9"/>
      <c r="L107" s="9"/>
      <c r="M107" s="8"/>
      <c r="N107" s="8"/>
      <c r="O107" s="8"/>
      <c r="P107" s="10" t="str">
        <f aca="false">IF($B107="","",IF(AND($C107="Supporter",$E107=4),3,$E107))</f>
        <v/>
      </c>
      <c r="Q107" s="11" t="str">
        <f aca="false">IF($B107="","",IF($G107&gt;0,$H107/$G107,0))</f>
        <v/>
      </c>
      <c r="R107" s="12" t="str">
        <f aca="false">IF($B107="","",IF($G107&gt;0,$I107/$G107,0))</f>
        <v/>
      </c>
      <c r="S107" s="13" t="str">
        <f aca="false">IF($B107="","",IF($W107&lt;=1,100,COUNTIFS($C$5:$C$204,$C107,$P$5:$P$204,$P107,$F$5:$F$204,"&lt;"&amp;$F107)/($W107-1)*100))</f>
        <v/>
      </c>
      <c r="T107" s="13" t="str">
        <f aca="false">IF($B107="","",IF($C107="Supporter","-",IF($W107&lt;=1,100,COUNTIFS($C$5:$C$204,$C107,$P$5:$P$204,$P107,$Q$5:$Q$204,"&lt;"&amp;$Q107)/($W107-1)*100)))</f>
        <v/>
      </c>
      <c r="U107" s="14" t="str">
        <f aca="false">IF($B107="","",IF($C107="Supporter",$S107,0.85*$S107+0.15*$T107))</f>
        <v/>
      </c>
      <c r="V107" s="10" t="str">
        <f aca="false">IF($B107="","",COUNTIFS($C$5:$C$204,$C107,$P$5:$P$204,$P107,$U$5:$U$204,"&gt;"&amp;$U107)+1)</f>
        <v/>
      </c>
      <c r="W107" s="10" t="str">
        <f aca="false">IF($B107="","",COUNTIFS($C$5:$C$204,$C107,$P$5:$P$204,$P107))</f>
        <v/>
      </c>
      <c r="X107" s="15" t="str">
        <f aca="false">IF($B107="","",$V107/$W107)</f>
        <v/>
      </c>
      <c r="Y107" s="10" t="str">
        <f aca="false">IF($B107="","",IF(AND($M107="Có",$J107&lt;=Nguong!$B$16,$K107&lt;=Nguong!$B$17,$L107&lt;=Nguong!$B$18,$R107&lt;=INDEX(Nguong!$B$4:$B$8,$D107)),"Đạt","Không đạt"))</f>
        <v/>
      </c>
      <c r="Z107" s="16" t="str">
        <f aca="false">IF($B107="","",IF($D107&gt;=5,"-",INDEX(IF($C107="Supporter",Nguong!$E$4:$E$8,Nguong!$C$4:$C$8),$D107+1)))</f>
        <v/>
      </c>
      <c r="AA107" s="16" t="str">
        <f aca="false">IF($B107="","",INDEX(IF($C107="Supporter",Nguong!$F$4:$F$8,Nguong!$D$4:$D$8),$D107))</f>
        <v/>
      </c>
      <c r="AB107" s="17" t="str">
        <f aca="false">IF($B107="","",IF($Y107="Không đạt",IF($D107=1,"Không đạt ĐK cần – SM/GĐKV xem xét","Xuống Level "&amp;($D107-1)&amp;" (không đạt ĐK cần)"),IF(AND($D107&lt;5,$Z107&lt;&gt;"-",$X107&lt;=$Z107,$N107="Có",$O107="Có"),"Lên Level "&amp;($D107+1),IF($X107&lt;=$AA107,"Giữ Level "&amp;$D107,"Xuống Level "&amp;($D107-1)&amp;" (ngoài ngưỡng giữ)"))))</f>
        <v/>
      </c>
    </row>
    <row r="108" customFormat="false" ht="15" hidden="false" customHeight="false" outlineLevel="0" collapsed="false">
      <c r="A108" s="7"/>
      <c r="B108" s="7"/>
      <c r="C108" s="8"/>
      <c r="D108" s="8"/>
      <c r="E108" s="8"/>
      <c r="F108" s="9"/>
      <c r="G108" s="9"/>
      <c r="H108" s="9"/>
      <c r="I108" s="9"/>
      <c r="J108" s="9"/>
      <c r="K108" s="9"/>
      <c r="L108" s="9"/>
      <c r="M108" s="8"/>
      <c r="N108" s="8"/>
      <c r="O108" s="8"/>
      <c r="P108" s="10" t="str">
        <f aca="false">IF($B108="","",IF(AND($C108="Supporter",$E108=4),3,$E108))</f>
        <v/>
      </c>
      <c r="Q108" s="11" t="str">
        <f aca="false">IF($B108="","",IF($G108&gt;0,$H108/$G108,0))</f>
        <v/>
      </c>
      <c r="R108" s="12" t="str">
        <f aca="false">IF($B108="","",IF($G108&gt;0,$I108/$G108,0))</f>
        <v/>
      </c>
      <c r="S108" s="13" t="str">
        <f aca="false">IF($B108="","",IF($W108&lt;=1,100,COUNTIFS($C$5:$C$204,$C108,$P$5:$P$204,$P108,$F$5:$F$204,"&lt;"&amp;$F108)/($W108-1)*100))</f>
        <v/>
      </c>
      <c r="T108" s="13" t="str">
        <f aca="false">IF($B108="","",IF($C108="Supporter","-",IF($W108&lt;=1,100,COUNTIFS($C$5:$C$204,$C108,$P$5:$P$204,$P108,$Q$5:$Q$204,"&lt;"&amp;$Q108)/($W108-1)*100)))</f>
        <v/>
      </c>
      <c r="U108" s="14" t="str">
        <f aca="false">IF($B108="","",IF($C108="Supporter",$S108,0.85*$S108+0.15*$T108))</f>
        <v/>
      </c>
      <c r="V108" s="10" t="str">
        <f aca="false">IF($B108="","",COUNTIFS($C$5:$C$204,$C108,$P$5:$P$204,$P108,$U$5:$U$204,"&gt;"&amp;$U108)+1)</f>
        <v/>
      </c>
      <c r="W108" s="10" t="str">
        <f aca="false">IF($B108="","",COUNTIFS($C$5:$C$204,$C108,$P$5:$P$204,$P108))</f>
        <v/>
      </c>
      <c r="X108" s="15" t="str">
        <f aca="false">IF($B108="","",$V108/$W108)</f>
        <v/>
      </c>
      <c r="Y108" s="10" t="str">
        <f aca="false">IF($B108="","",IF(AND($M108="Có",$J108&lt;=Nguong!$B$16,$K108&lt;=Nguong!$B$17,$L108&lt;=Nguong!$B$18,$R108&lt;=INDEX(Nguong!$B$4:$B$8,$D108)),"Đạt","Không đạt"))</f>
        <v/>
      </c>
      <c r="Z108" s="16" t="str">
        <f aca="false">IF($B108="","",IF($D108&gt;=5,"-",INDEX(IF($C108="Supporter",Nguong!$E$4:$E$8,Nguong!$C$4:$C$8),$D108+1)))</f>
        <v/>
      </c>
      <c r="AA108" s="16" t="str">
        <f aca="false">IF($B108="","",INDEX(IF($C108="Supporter",Nguong!$F$4:$F$8,Nguong!$D$4:$D$8),$D108))</f>
        <v/>
      </c>
      <c r="AB108" s="17" t="str">
        <f aca="false">IF($B108="","",IF($Y108="Không đạt",IF($D108=1,"Không đạt ĐK cần – SM/GĐKV xem xét","Xuống Level "&amp;($D108-1)&amp;" (không đạt ĐK cần)"),IF(AND($D108&lt;5,$Z108&lt;&gt;"-",$X108&lt;=$Z108,$N108="Có",$O108="Có"),"Lên Level "&amp;($D108+1),IF($X108&lt;=$AA108,"Giữ Level "&amp;$D108,"Xuống Level "&amp;($D108-1)&amp;" (ngoài ngưỡng giữ)"))))</f>
        <v/>
      </c>
    </row>
    <row r="109" customFormat="false" ht="15" hidden="false" customHeight="false" outlineLevel="0" collapsed="false">
      <c r="A109" s="7"/>
      <c r="B109" s="7"/>
      <c r="C109" s="8"/>
      <c r="D109" s="8"/>
      <c r="E109" s="8"/>
      <c r="F109" s="9"/>
      <c r="G109" s="9"/>
      <c r="H109" s="9"/>
      <c r="I109" s="9"/>
      <c r="J109" s="9"/>
      <c r="K109" s="9"/>
      <c r="L109" s="9"/>
      <c r="M109" s="8"/>
      <c r="N109" s="8"/>
      <c r="O109" s="8"/>
      <c r="P109" s="10" t="str">
        <f aca="false">IF($B109="","",IF(AND($C109="Supporter",$E109=4),3,$E109))</f>
        <v/>
      </c>
      <c r="Q109" s="11" t="str">
        <f aca="false">IF($B109="","",IF($G109&gt;0,$H109/$G109,0))</f>
        <v/>
      </c>
      <c r="R109" s="12" t="str">
        <f aca="false">IF($B109="","",IF($G109&gt;0,$I109/$G109,0))</f>
        <v/>
      </c>
      <c r="S109" s="13" t="str">
        <f aca="false">IF($B109="","",IF($W109&lt;=1,100,COUNTIFS($C$5:$C$204,$C109,$P$5:$P$204,$P109,$F$5:$F$204,"&lt;"&amp;$F109)/($W109-1)*100))</f>
        <v/>
      </c>
      <c r="T109" s="13" t="str">
        <f aca="false">IF($B109="","",IF($C109="Supporter","-",IF($W109&lt;=1,100,COUNTIFS($C$5:$C$204,$C109,$P$5:$P$204,$P109,$Q$5:$Q$204,"&lt;"&amp;$Q109)/($W109-1)*100)))</f>
        <v/>
      </c>
      <c r="U109" s="14" t="str">
        <f aca="false">IF($B109="","",IF($C109="Supporter",$S109,0.85*$S109+0.15*$T109))</f>
        <v/>
      </c>
      <c r="V109" s="10" t="str">
        <f aca="false">IF($B109="","",COUNTIFS($C$5:$C$204,$C109,$P$5:$P$204,$P109,$U$5:$U$204,"&gt;"&amp;$U109)+1)</f>
        <v/>
      </c>
      <c r="W109" s="10" t="str">
        <f aca="false">IF($B109="","",COUNTIFS($C$5:$C$204,$C109,$P$5:$P$204,$P109))</f>
        <v/>
      </c>
      <c r="X109" s="15" t="str">
        <f aca="false">IF($B109="","",$V109/$W109)</f>
        <v/>
      </c>
      <c r="Y109" s="10" t="str">
        <f aca="false">IF($B109="","",IF(AND($M109="Có",$J109&lt;=Nguong!$B$16,$K109&lt;=Nguong!$B$17,$L109&lt;=Nguong!$B$18,$R109&lt;=INDEX(Nguong!$B$4:$B$8,$D109)),"Đạt","Không đạt"))</f>
        <v/>
      </c>
      <c r="Z109" s="16" t="str">
        <f aca="false">IF($B109="","",IF($D109&gt;=5,"-",INDEX(IF($C109="Supporter",Nguong!$E$4:$E$8,Nguong!$C$4:$C$8),$D109+1)))</f>
        <v/>
      </c>
      <c r="AA109" s="16" t="str">
        <f aca="false">IF($B109="","",INDEX(IF($C109="Supporter",Nguong!$F$4:$F$8,Nguong!$D$4:$D$8),$D109))</f>
        <v/>
      </c>
      <c r="AB109" s="17" t="str">
        <f aca="false">IF($B109="","",IF($Y109="Không đạt",IF($D109=1,"Không đạt ĐK cần – SM/GĐKV xem xét","Xuống Level "&amp;($D109-1)&amp;" (không đạt ĐK cần)"),IF(AND($D109&lt;5,$Z109&lt;&gt;"-",$X109&lt;=$Z109,$N109="Có",$O109="Có"),"Lên Level "&amp;($D109+1),IF($X109&lt;=$AA109,"Giữ Level "&amp;$D109,"Xuống Level "&amp;($D109-1)&amp;" (ngoài ngưỡng giữ)"))))</f>
        <v/>
      </c>
    </row>
    <row r="110" customFormat="false" ht="15" hidden="false" customHeight="false" outlineLevel="0" collapsed="false">
      <c r="A110" s="7"/>
      <c r="B110" s="7"/>
      <c r="C110" s="8"/>
      <c r="D110" s="8"/>
      <c r="E110" s="8"/>
      <c r="F110" s="9"/>
      <c r="G110" s="9"/>
      <c r="H110" s="9"/>
      <c r="I110" s="9"/>
      <c r="J110" s="9"/>
      <c r="K110" s="9"/>
      <c r="L110" s="9"/>
      <c r="M110" s="8"/>
      <c r="N110" s="8"/>
      <c r="O110" s="8"/>
      <c r="P110" s="10" t="str">
        <f aca="false">IF($B110="","",IF(AND($C110="Supporter",$E110=4),3,$E110))</f>
        <v/>
      </c>
      <c r="Q110" s="11" t="str">
        <f aca="false">IF($B110="","",IF($G110&gt;0,$H110/$G110,0))</f>
        <v/>
      </c>
      <c r="R110" s="12" t="str">
        <f aca="false">IF($B110="","",IF($G110&gt;0,$I110/$G110,0))</f>
        <v/>
      </c>
      <c r="S110" s="13" t="str">
        <f aca="false">IF($B110="","",IF($W110&lt;=1,100,COUNTIFS($C$5:$C$204,$C110,$P$5:$P$204,$P110,$F$5:$F$204,"&lt;"&amp;$F110)/($W110-1)*100))</f>
        <v/>
      </c>
      <c r="T110" s="13" t="str">
        <f aca="false">IF($B110="","",IF($C110="Supporter","-",IF($W110&lt;=1,100,COUNTIFS($C$5:$C$204,$C110,$P$5:$P$204,$P110,$Q$5:$Q$204,"&lt;"&amp;$Q110)/($W110-1)*100)))</f>
        <v/>
      </c>
      <c r="U110" s="14" t="str">
        <f aca="false">IF($B110="","",IF($C110="Supporter",$S110,0.85*$S110+0.15*$T110))</f>
        <v/>
      </c>
      <c r="V110" s="10" t="str">
        <f aca="false">IF($B110="","",COUNTIFS($C$5:$C$204,$C110,$P$5:$P$204,$P110,$U$5:$U$204,"&gt;"&amp;$U110)+1)</f>
        <v/>
      </c>
      <c r="W110" s="10" t="str">
        <f aca="false">IF($B110="","",COUNTIFS($C$5:$C$204,$C110,$P$5:$P$204,$P110))</f>
        <v/>
      </c>
      <c r="X110" s="15" t="str">
        <f aca="false">IF($B110="","",$V110/$W110)</f>
        <v/>
      </c>
      <c r="Y110" s="10" t="str">
        <f aca="false">IF($B110="","",IF(AND($M110="Có",$J110&lt;=Nguong!$B$16,$K110&lt;=Nguong!$B$17,$L110&lt;=Nguong!$B$18,$R110&lt;=INDEX(Nguong!$B$4:$B$8,$D110)),"Đạt","Không đạt"))</f>
        <v/>
      </c>
      <c r="Z110" s="16" t="str">
        <f aca="false">IF($B110="","",IF($D110&gt;=5,"-",INDEX(IF($C110="Supporter",Nguong!$E$4:$E$8,Nguong!$C$4:$C$8),$D110+1)))</f>
        <v/>
      </c>
      <c r="AA110" s="16" t="str">
        <f aca="false">IF($B110="","",INDEX(IF($C110="Supporter",Nguong!$F$4:$F$8,Nguong!$D$4:$D$8),$D110))</f>
        <v/>
      </c>
      <c r="AB110" s="17" t="str">
        <f aca="false">IF($B110="","",IF($Y110="Không đạt",IF($D110=1,"Không đạt ĐK cần – SM/GĐKV xem xét","Xuống Level "&amp;($D110-1)&amp;" (không đạt ĐK cần)"),IF(AND($D110&lt;5,$Z110&lt;&gt;"-",$X110&lt;=$Z110,$N110="Có",$O110="Có"),"Lên Level "&amp;($D110+1),IF($X110&lt;=$AA110,"Giữ Level "&amp;$D110,"Xuống Level "&amp;($D110-1)&amp;" (ngoài ngưỡng giữ)"))))</f>
        <v/>
      </c>
    </row>
    <row r="111" customFormat="false" ht="15" hidden="false" customHeight="false" outlineLevel="0" collapsed="false">
      <c r="A111" s="7"/>
      <c r="B111" s="7"/>
      <c r="C111" s="8"/>
      <c r="D111" s="8"/>
      <c r="E111" s="8"/>
      <c r="F111" s="9"/>
      <c r="G111" s="9"/>
      <c r="H111" s="9"/>
      <c r="I111" s="9"/>
      <c r="J111" s="9"/>
      <c r="K111" s="9"/>
      <c r="L111" s="9"/>
      <c r="M111" s="8"/>
      <c r="N111" s="8"/>
      <c r="O111" s="8"/>
      <c r="P111" s="10" t="str">
        <f aca="false">IF($B111="","",IF(AND($C111="Supporter",$E111=4),3,$E111))</f>
        <v/>
      </c>
      <c r="Q111" s="11" t="str">
        <f aca="false">IF($B111="","",IF($G111&gt;0,$H111/$G111,0))</f>
        <v/>
      </c>
      <c r="R111" s="12" t="str">
        <f aca="false">IF($B111="","",IF($G111&gt;0,$I111/$G111,0))</f>
        <v/>
      </c>
      <c r="S111" s="13" t="str">
        <f aca="false">IF($B111="","",IF($W111&lt;=1,100,COUNTIFS($C$5:$C$204,$C111,$P$5:$P$204,$P111,$F$5:$F$204,"&lt;"&amp;$F111)/($W111-1)*100))</f>
        <v/>
      </c>
      <c r="T111" s="13" t="str">
        <f aca="false">IF($B111="","",IF($C111="Supporter","-",IF($W111&lt;=1,100,COUNTIFS($C$5:$C$204,$C111,$P$5:$P$204,$P111,$Q$5:$Q$204,"&lt;"&amp;$Q111)/($W111-1)*100)))</f>
        <v/>
      </c>
      <c r="U111" s="14" t="str">
        <f aca="false">IF($B111="","",IF($C111="Supporter",$S111,0.85*$S111+0.15*$T111))</f>
        <v/>
      </c>
      <c r="V111" s="10" t="str">
        <f aca="false">IF($B111="","",COUNTIFS($C$5:$C$204,$C111,$P$5:$P$204,$P111,$U$5:$U$204,"&gt;"&amp;$U111)+1)</f>
        <v/>
      </c>
      <c r="W111" s="10" t="str">
        <f aca="false">IF($B111="","",COUNTIFS($C$5:$C$204,$C111,$P$5:$P$204,$P111))</f>
        <v/>
      </c>
      <c r="X111" s="15" t="str">
        <f aca="false">IF($B111="","",$V111/$W111)</f>
        <v/>
      </c>
      <c r="Y111" s="10" t="str">
        <f aca="false">IF($B111="","",IF(AND($M111="Có",$J111&lt;=Nguong!$B$16,$K111&lt;=Nguong!$B$17,$L111&lt;=Nguong!$B$18,$R111&lt;=INDEX(Nguong!$B$4:$B$8,$D111)),"Đạt","Không đạt"))</f>
        <v/>
      </c>
      <c r="Z111" s="16" t="str">
        <f aca="false">IF($B111="","",IF($D111&gt;=5,"-",INDEX(IF($C111="Supporter",Nguong!$E$4:$E$8,Nguong!$C$4:$C$8),$D111+1)))</f>
        <v/>
      </c>
      <c r="AA111" s="16" t="str">
        <f aca="false">IF($B111="","",INDEX(IF($C111="Supporter",Nguong!$F$4:$F$8,Nguong!$D$4:$D$8),$D111))</f>
        <v/>
      </c>
      <c r="AB111" s="17" t="str">
        <f aca="false">IF($B111="","",IF($Y111="Không đạt",IF($D111=1,"Không đạt ĐK cần – SM/GĐKV xem xét","Xuống Level "&amp;($D111-1)&amp;" (không đạt ĐK cần)"),IF(AND($D111&lt;5,$Z111&lt;&gt;"-",$X111&lt;=$Z111,$N111="Có",$O111="Có"),"Lên Level "&amp;($D111+1),IF($X111&lt;=$AA111,"Giữ Level "&amp;$D111,"Xuống Level "&amp;($D111-1)&amp;" (ngoài ngưỡng giữ)"))))</f>
        <v/>
      </c>
    </row>
    <row r="112" customFormat="false" ht="15" hidden="false" customHeight="false" outlineLevel="0" collapsed="false">
      <c r="A112" s="7"/>
      <c r="B112" s="7"/>
      <c r="C112" s="8"/>
      <c r="D112" s="8"/>
      <c r="E112" s="8"/>
      <c r="F112" s="9"/>
      <c r="G112" s="9"/>
      <c r="H112" s="9"/>
      <c r="I112" s="9"/>
      <c r="J112" s="9"/>
      <c r="K112" s="9"/>
      <c r="L112" s="9"/>
      <c r="M112" s="8"/>
      <c r="N112" s="8"/>
      <c r="O112" s="8"/>
      <c r="P112" s="10" t="str">
        <f aca="false">IF($B112="","",IF(AND($C112="Supporter",$E112=4),3,$E112))</f>
        <v/>
      </c>
      <c r="Q112" s="11" t="str">
        <f aca="false">IF($B112="","",IF($G112&gt;0,$H112/$G112,0))</f>
        <v/>
      </c>
      <c r="R112" s="12" t="str">
        <f aca="false">IF($B112="","",IF($G112&gt;0,$I112/$G112,0))</f>
        <v/>
      </c>
      <c r="S112" s="13" t="str">
        <f aca="false">IF($B112="","",IF($W112&lt;=1,100,COUNTIFS($C$5:$C$204,$C112,$P$5:$P$204,$P112,$F$5:$F$204,"&lt;"&amp;$F112)/($W112-1)*100))</f>
        <v/>
      </c>
      <c r="T112" s="13" t="str">
        <f aca="false">IF($B112="","",IF($C112="Supporter","-",IF($W112&lt;=1,100,COUNTIFS($C$5:$C$204,$C112,$P$5:$P$204,$P112,$Q$5:$Q$204,"&lt;"&amp;$Q112)/($W112-1)*100)))</f>
        <v/>
      </c>
      <c r="U112" s="14" t="str">
        <f aca="false">IF($B112="","",IF($C112="Supporter",$S112,0.85*$S112+0.15*$T112))</f>
        <v/>
      </c>
      <c r="V112" s="10" t="str">
        <f aca="false">IF($B112="","",COUNTIFS($C$5:$C$204,$C112,$P$5:$P$204,$P112,$U$5:$U$204,"&gt;"&amp;$U112)+1)</f>
        <v/>
      </c>
      <c r="W112" s="10" t="str">
        <f aca="false">IF($B112="","",COUNTIFS($C$5:$C$204,$C112,$P$5:$P$204,$P112))</f>
        <v/>
      </c>
      <c r="X112" s="15" t="str">
        <f aca="false">IF($B112="","",$V112/$W112)</f>
        <v/>
      </c>
      <c r="Y112" s="10" t="str">
        <f aca="false">IF($B112="","",IF(AND($M112="Có",$J112&lt;=Nguong!$B$16,$K112&lt;=Nguong!$B$17,$L112&lt;=Nguong!$B$18,$R112&lt;=INDEX(Nguong!$B$4:$B$8,$D112)),"Đạt","Không đạt"))</f>
        <v/>
      </c>
      <c r="Z112" s="16" t="str">
        <f aca="false">IF($B112="","",IF($D112&gt;=5,"-",INDEX(IF($C112="Supporter",Nguong!$E$4:$E$8,Nguong!$C$4:$C$8),$D112+1)))</f>
        <v/>
      </c>
      <c r="AA112" s="16" t="str">
        <f aca="false">IF($B112="","",INDEX(IF($C112="Supporter",Nguong!$F$4:$F$8,Nguong!$D$4:$D$8),$D112))</f>
        <v/>
      </c>
      <c r="AB112" s="17" t="str">
        <f aca="false">IF($B112="","",IF($Y112="Không đạt",IF($D112=1,"Không đạt ĐK cần – SM/GĐKV xem xét","Xuống Level "&amp;($D112-1)&amp;" (không đạt ĐK cần)"),IF(AND($D112&lt;5,$Z112&lt;&gt;"-",$X112&lt;=$Z112,$N112="Có",$O112="Có"),"Lên Level "&amp;($D112+1),IF($X112&lt;=$AA112,"Giữ Level "&amp;$D112,"Xuống Level "&amp;($D112-1)&amp;" (ngoài ngưỡng giữ)"))))</f>
        <v/>
      </c>
    </row>
    <row r="113" customFormat="false" ht="15" hidden="false" customHeight="false" outlineLevel="0" collapsed="false">
      <c r="A113" s="7"/>
      <c r="B113" s="7"/>
      <c r="C113" s="8"/>
      <c r="D113" s="8"/>
      <c r="E113" s="8"/>
      <c r="F113" s="9"/>
      <c r="G113" s="9"/>
      <c r="H113" s="9"/>
      <c r="I113" s="9"/>
      <c r="J113" s="9"/>
      <c r="K113" s="9"/>
      <c r="L113" s="9"/>
      <c r="M113" s="8"/>
      <c r="N113" s="8"/>
      <c r="O113" s="8"/>
      <c r="P113" s="10" t="str">
        <f aca="false">IF($B113="","",IF(AND($C113="Supporter",$E113=4),3,$E113))</f>
        <v/>
      </c>
      <c r="Q113" s="11" t="str">
        <f aca="false">IF($B113="","",IF($G113&gt;0,$H113/$G113,0))</f>
        <v/>
      </c>
      <c r="R113" s="12" t="str">
        <f aca="false">IF($B113="","",IF($G113&gt;0,$I113/$G113,0))</f>
        <v/>
      </c>
      <c r="S113" s="13" t="str">
        <f aca="false">IF($B113="","",IF($W113&lt;=1,100,COUNTIFS($C$5:$C$204,$C113,$P$5:$P$204,$P113,$F$5:$F$204,"&lt;"&amp;$F113)/($W113-1)*100))</f>
        <v/>
      </c>
      <c r="T113" s="13" t="str">
        <f aca="false">IF($B113="","",IF($C113="Supporter","-",IF($W113&lt;=1,100,COUNTIFS($C$5:$C$204,$C113,$P$5:$P$204,$P113,$Q$5:$Q$204,"&lt;"&amp;$Q113)/($W113-1)*100)))</f>
        <v/>
      </c>
      <c r="U113" s="14" t="str">
        <f aca="false">IF($B113="","",IF($C113="Supporter",$S113,0.85*$S113+0.15*$T113))</f>
        <v/>
      </c>
      <c r="V113" s="10" t="str">
        <f aca="false">IF($B113="","",COUNTIFS($C$5:$C$204,$C113,$P$5:$P$204,$P113,$U$5:$U$204,"&gt;"&amp;$U113)+1)</f>
        <v/>
      </c>
      <c r="W113" s="10" t="str">
        <f aca="false">IF($B113="","",COUNTIFS($C$5:$C$204,$C113,$P$5:$P$204,$P113))</f>
        <v/>
      </c>
      <c r="X113" s="15" t="str">
        <f aca="false">IF($B113="","",$V113/$W113)</f>
        <v/>
      </c>
      <c r="Y113" s="10" t="str">
        <f aca="false">IF($B113="","",IF(AND($M113="Có",$J113&lt;=Nguong!$B$16,$K113&lt;=Nguong!$B$17,$L113&lt;=Nguong!$B$18,$R113&lt;=INDEX(Nguong!$B$4:$B$8,$D113)),"Đạt","Không đạt"))</f>
        <v/>
      </c>
      <c r="Z113" s="16" t="str">
        <f aca="false">IF($B113="","",IF($D113&gt;=5,"-",INDEX(IF($C113="Supporter",Nguong!$E$4:$E$8,Nguong!$C$4:$C$8),$D113+1)))</f>
        <v/>
      </c>
      <c r="AA113" s="16" t="str">
        <f aca="false">IF($B113="","",INDEX(IF($C113="Supporter",Nguong!$F$4:$F$8,Nguong!$D$4:$D$8),$D113))</f>
        <v/>
      </c>
      <c r="AB113" s="17" t="str">
        <f aca="false">IF($B113="","",IF($Y113="Không đạt",IF($D113=1,"Không đạt ĐK cần – SM/GĐKV xem xét","Xuống Level "&amp;($D113-1)&amp;" (không đạt ĐK cần)"),IF(AND($D113&lt;5,$Z113&lt;&gt;"-",$X113&lt;=$Z113,$N113="Có",$O113="Có"),"Lên Level "&amp;($D113+1),IF($X113&lt;=$AA113,"Giữ Level "&amp;$D113,"Xuống Level "&amp;($D113-1)&amp;" (ngoài ngưỡng giữ)"))))</f>
        <v/>
      </c>
    </row>
    <row r="114" customFormat="false" ht="15" hidden="false" customHeight="false" outlineLevel="0" collapsed="false">
      <c r="A114" s="7"/>
      <c r="B114" s="7"/>
      <c r="C114" s="8"/>
      <c r="D114" s="8"/>
      <c r="E114" s="8"/>
      <c r="F114" s="9"/>
      <c r="G114" s="9"/>
      <c r="H114" s="9"/>
      <c r="I114" s="9"/>
      <c r="J114" s="9"/>
      <c r="K114" s="9"/>
      <c r="L114" s="9"/>
      <c r="M114" s="8"/>
      <c r="N114" s="8"/>
      <c r="O114" s="8"/>
      <c r="P114" s="10" t="str">
        <f aca="false">IF($B114="","",IF(AND($C114="Supporter",$E114=4),3,$E114))</f>
        <v/>
      </c>
      <c r="Q114" s="11" t="str">
        <f aca="false">IF($B114="","",IF($G114&gt;0,$H114/$G114,0))</f>
        <v/>
      </c>
      <c r="R114" s="12" t="str">
        <f aca="false">IF($B114="","",IF($G114&gt;0,$I114/$G114,0))</f>
        <v/>
      </c>
      <c r="S114" s="13" t="str">
        <f aca="false">IF($B114="","",IF($W114&lt;=1,100,COUNTIFS($C$5:$C$204,$C114,$P$5:$P$204,$P114,$F$5:$F$204,"&lt;"&amp;$F114)/($W114-1)*100))</f>
        <v/>
      </c>
      <c r="T114" s="13" t="str">
        <f aca="false">IF($B114="","",IF($C114="Supporter","-",IF($W114&lt;=1,100,COUNTIFS($C$5:$C$204,$C114,$P$5:$P$204,$P114,$Q$5:$Q$204,"&lt;"&amp;$Q114)/($W114-1)*100)))</f>
        <v/>
      </c>
      <c r="U114" s="14" t="str">
        <f aca="false">IF($B114="","",IF($C114="Supporter",$S114,0.85*$S114+0.15*$T114))</f>
        <v/>
      </c>
      <c r="V114" s="10" t="str">
        <f aca="false">IF($B114="","",COUNTIFS($C$5:$C$204,$C114,$P$5:$P$204,$P114,$U$5:$U$204,"&gt;"&amp;$U114)+1)</f>
        <v/>
      </c>
      <c r="W114" s="10" t="str">
        <f aca="false">IF($B114="","",COUNTIFS($C$5:$C$204,$C114,$P$5:$P$204,$P114))</f>
        <v/>
      </c>
      <c r="X114" s="15" t="str">
        <f aca="false">IF($B114="","",$V114/$W114)</f>
        <v/>
      </c>
      <c r="Y114" s="10" t="str">
        <f aca="false">IF($B114="","",IF(AND($M114="Có",$J114&lt;=Nguong!$B$16,$K114&lt;=Nguong!$B$17,$L114&lt;=Nguong!$B$18,$R114&lt;=INDEX(Nguong!$B$4:$B$8,$D114)),"Đạt","Không đạt"))</f>
        <v/>
      </c>
      <c r="Z114" s="16" t="str">
        <f aca="false">IF($B114="","",IF($D114&gt;=5,"-",INDEX(IF($C114="Supporter",Nguong!$E$4:$E$8,Nguong!$C$4:$C$8),$D114+1)))</f>
        <v/>
      </c>
      <c r="AA114" s="16" t="str">
        <f aca="false">IF($B114="","",INDEX(IF($C114="Supporter",Nguong!$F$4:$F$8,Nguong!$D$4:$D$8),$D114))</f>
        <v/>
      </c>
      <c r="AB114" s="17" t="str">
        <f aca="false">IF($B114="","",IF($Y114="Không đạt",IF($D114=1,"Không đạt ĐK cần – SM/GĐKV xem xét","Xuống Level "&amp;($D114-1)&amp;" (không đạt ĐK cần)"),IF(AND($D114&lt;5,$Z114&lt;&gt;"-",$X114&lt;=$Z114,$N114="Có",$O114="Có"),"Lên Level "&amp;($D114+1),IF($X114&lt;=$AA114,"Giữ Level "&amp;$D114,"Xuống Level "&amp;($D114-1)&amp;" (ngoài ngưỡng giữ)"))))</f>
        <v/>
      </c>
    </row>
    <row r="115" customFormat="false" ht="15" hidden="false" customHeight="false" outlineLevel="0" collapsed="false">
      <c r="A115" s="7"/>
      <c r="B115" s="7"/>
      <c r="C115" s="8"/>
      <c r="D115" s="8"/>
      <c r="E115" s="8"/>
      <c r="F115" s="9"/>
      <c r="G115" s="9"/>
      <c r="H115" s="9"/>
      <c r="I115" s="9"/>
      <c r="J115" s="9"/>
      <c r="K115" s="9"/>
      <c r="L115" s="9"/>
      <c r="M115" s="8"/>
      <c r="N115" s="8"/>
      <c r="O115" s="8"/>
      <c r="P115" s="10" t="str">
        <f aca="false">IF($B115="","",IF(AND($C115="Supporter",$E115=4),3,$E115))</f>
        <v/>
      </c>
      <c r="Q115" s="11" t="str">
        <f aca="false">IF($B115="","",IF($G115&gt;0,$H115/$G115,0))</f>
        <v/>
      </c>
      <c r="R115" s="12" t="str">
        <f aca="false">IF($B115="","",IF($G115&gt;0,$I115/$G115,0))</f>
        <v/>
      </c>
      <c r="S115" s="13" t="str">
        <f aca="false">IF($B115="","",IF($W115&lt;=1,100,COUNTIFS($C$5:$C$204,$C115,$P$5:$P$204,$P115,$F$5:$F$204,"&lt;"&amp;$F115)/($W115-1)*100))</f>
        <v/>
      </c>
      <c r="T115" s="13" t="str">
        <f aca="false">IF($B115="","",IF($C115="Supporter","-",IF($W115&lt;=1,100,COUNTIFS($C$5:$C$204,$C115,$P$5:$P$204,$P115,$Q$5:$Q$204,"&lt;"&amp;$Q115)/($W115-1)*100)))</f>
        <v/>
      </c>
      <c r="U115" s="14" t="str">
        <f aca="false">IF($B115="","",IF($C115="Supporter",$S115,0.85*$S115+0.15*$T115))</f>
        <v/>
      </c>
      <c r="V115" s="10" t="str">
        <f aca="false">IF($B115="","",COUNTIFS($C$5:$C$204,$C115,$P$5:$P$204,$P115,$U$5:$U$204,"&gt;"&amp;$U115)+1)</f>
        <v/>
      </c>
      <c r="W115" s="10" t="str">
        <f aca="false">IF($B115="","",COUNTIFS($C$5:$C$204,$C115,$P$5:$P$204,$P115))</f>
        <v/>
      </c>
      <c r="X115" s="15" t="str">
        <f aca="false">IF($B115="","",$V115/$W115)</f>
        <v/>
      </c>
      <c r="Y115" s="10" t="str">
        <f aca="false">IF($B115="","",IF(AND($M115="Có",$J115&lt;=Nguong!$B$16,$K115&lt;=Nguong!$B$17,$L115&lt;=Nguong!$B$18,$R115&lt;=INDEX(Nguong!$B$4:$B$8,$D115)),"Đạt","Không đạt"))</f>
        <v/>
      </c>
      <c r="Z115" s="16" t="str">
        <f aca="false">IF($B115="","",IF($D115&gt;=5,"-",INDEX(IF($C115="Supporter",Nguong!$E$4:$E$8,Nguong!$C$4:$C$8),$D115+1)))</f>
        <v/>
      </c>
      <c r="AA115" s="16" t="str">
        <f aca="false">IF($B115="","",INDEX(IF($C115="Supporter",Nguong!$F$4:$F$8,Nguong!$D$4:$D$8),$D115))</f>
        <v/>
      </c>
      <c r="AB115" s="17" t="str">
        <f aca="false">IF($B115="","",IF($Y115="Không đạt",IF($D115=1,"Không đạt ĐK cần – SM/GĐKV xem xét","Xuống Level "&amp;($D115-1)&amp;" (không đạt ĐK cần)"),IF(AND($D115&lt;5,$Z115&lt;&gt;"-",$X115&lt;=$Z115,$N115="Có",$O115="Có"),"Lên Level "&amp;($D115+1),IF($X115&lt;=$AA115,"Giữ Level "&amp;$D115,"Xuống Level "&amp;($D115-1)&amp;" (ngoài ngưỡng giữ)"))))</f>
        <v/>
      </c>
    </row>
    <row r="116" customFormat="false" ht="15" hidden="false" customHeight="false" outlineLevel="0" collapsed="false">
      <c r="A116" s="7"/>
      <c r="B116" s="7"/>
      <c r="C116" s="8"/>
      <c r="D116" s="8"/>
      <c r="E116" s="8"/>
      <c r="F116" s="9"/>
      <c r="G116" s="9"/>
      <c r="H116" s="9"/>
      <c r="I116" s="9"/>
      <c r="J116" s="9"/>
      <c r="K116" s="9"/>
      <c r="L116" s="9"/>
      <c r="M116" s="8"/>
      <c r="N116" s="8"/>
      <c r="O116" s="8"/>
      <c r="P116" s="10" t="str">
        <f aca="false">IF($B116="","",IF(AND($C116="Supporter",$E116=4),3,$E116))</f>
        <v/>
      </c>
      <c r="Q116" s="11" t="str">
        <f aca="false">IF($B116="","",IF($G116&gt;0,$H116/$G116,0))</f>
        <v/>
      </c>
      <c r="R116" s="12" t="str">
        <f aca="false">IF($B116="","",IF($G116&gt;0,$I116/$G116,0))</f>
        <v/>
      </c>
      <c r="S116" s="13" t="str">
        <f aca="false">IF($B116="","",IF($W116&lt;=1,100,COUNTIFS($C$5:$C$204,$C116,$P$5:$P$204,$P116,$F$5:$F$204,"&lt;"&amp;$F116)/($W116-1)*100))</f>
        <v/>
      </c>
      <c r="T116" s="13" t="str">
        <f aca="false">IF($B116="","",IF($C116="Supporter","-",IF($W116&lt;=1,100,COUNTIFS($C$5:$C$204,$C116,$P$5:$P$204,$P116,$Q$5:$Q$204,"&lt;"&amp;$Q116)/($W116-1)*100)))</f>
        <v/>
      </c>
      <c r="U116" s="14" t="str">
        <f aca="false">IF($B116="","",IF($C116="Supporter",$S116,0.85*$S116+0.15*$T116))</f>
        <v/>
      </c>
      <c r="V116" s="10" t="str">
        <f aca="false">IF($B116="","",COUNTIFS($C$5:$C$204,$C116,$P$5:$P$204,$P116,$U$5:$U$204,"&gt;"&amp;$U116)+1)</f>
        <v/>
      </c>
      <c r="W116" s="10" t="str">
        <f aca="false">IF($B116="","",COUNTIFS($C$5:$C$204,$C116,$P$5:$P$204,$P116))</f>
        <v/>
      </c>
      <c r="X116" s="15" t="str">
        <f aca="false">IF($B116="","",$V116/$W116)</f>
        <v/>
      </c>
      <c r="Y116" s="10" t="str">
        <f aca="false">IF($B116="","",IF(AND($M116="Có",$J116&lt;=Nguong!$B$16,$K116&lt;=Nguong!$B$17,$L116&lt;=Nguong!$B$18,$R116&lt;=INDEX(Nguong!$B$4:$B$8,$D116)),"Đạt","Không đạt"))</f>
        <v/>
      </c>
      <c r="Z116" s="16" t="str">
        <f aca="false">IF($B116="","",IF($D116&gt;=5,"-",INDEX(IF($C116="Supporter",Nguong!$E$4:$E$8,Nguong!$C$4:$C$8),$D116+1)))</f>
        <v/>
      </c>
      <c r="AA116" s="16" t="str">
        <f aca="false">IF($B116="","",INDEX(IF($C116="Supporter",Nguong!$F$4:$F$8,Nguong!$D$4:$D$8),$D116))</f>
        <v/>
      </c>
      <c r="AB116" s="17" t="str">
        <f aca="false">IF($B116="","",IF($Y116="Không đạt",IF($D116=1,"Không đạt ĐK cần – SM/GĐKV xem xét","Xuống Level "&amp;($D116-1)&amp;" (không đạt ĐK cần)"),IF(AND($D116&lt;5,$Z116&lt;&gt;"-",$X116&lt;=$Z116,$N116="Có",$O116="Có"),"Lên Level "&amp;($D116+1),IF($X116&lt;=$AA116,"Giữ Level "&amp;$D116,"Xuống Level "&amp;($D116-1)&amp;" (ngoài ngưỡng giữ)"))))</f>
        <v/>
      </c>
    </row>
    <row r="117" customFormat="false" ht="15" hidden="false" customHeight="false" outlineLevel="0" collapsed="false">
      <c r="A117" s="7"/>
      <c r="B117" s="7"/>
      <c r="C117" s="8"/>
      <c r="D117" s="8"/>
      <c r="E117" s="8"/>
      <c r="F117" s="9"/>
      <c r="G117" s="9"/>
      <c r="H117" s="9"/>
      <c r="I117" s="9"/>
      <c r="J117" s="9"/>
      <c r="K117" s="9"/>
      <c r="L117" s="9"/>
      <c r="M117" s="8"/>
      <c r="N117" s="8"/>
      <c r="O117" s="8"/>
      <c r="P117" s="10" t="str">
        <f aca="false">IF($B117="","",IF(AND($C117="Supporter",$E117=4),3,$E117))</f>
        <v/>
      </c>
      <c r="Q117" s="11" t="str">
        <f aca="false">IF($B117="","",IF($G117&gt;0,$H117/$G117,0))</f>
        <v/>
      </c>
      <c r="R117" s="12" t="str">
        <f aca="false">IF($B117="","",IF($G117&gt;0,$I117/$G117,0))</f>
        <v/>
      </c>
      <c r="S117" s="13" t="str">
        <f aca="false">IF($B117="","",IF($W117&lt;=1,100,COUNTIFS($C$5:$C$204,$C117,$P$5:$P$204,$P117,$F$5:$F$204,"&lt;"&amp;$F117)/($W117-1)*100))</f>
        <v/>
      </c>
      <c r="T117" s="13" t="str">
        <f aca="false">IF($B117="","",IF($C117="Supporter","-",IF($W117&lt;=1,100,COUNTIFS($C$5:$C$204,$C117,$P$5:$P$204,$P117,$Q$5:$Q$204,"&lt;"&amp;$Q117)/($W117-1)*100)))</f>
        <v/>
      </c>
      <c r="U117" s="14" t="str">
        <f aca="false">IF($B117="","",IF($C117="Supporter",$S117,0.85*$S117+0.15*$T117))</f>
        <v/>
      </c>
      <c r="V117" s="10" t="str">
        <f aca="false">IF($B117="","",COUNTIFS($C$5:$C$204,$C117,$P$5:$P$204,$P117,$U$5:$U$204,"&gt;"&amp;$U117)+1)</f>
        <v/>
      </c>
      <c r="W117" s="10" t="str">
        <f aca="false">IF($B117="","",COUNTIFS($C$5:$C$204,$C117,$P$5:$P$204,$P117))</f>
        <v/>
      </c>
      <c r="X117" s="15" t="str">
        <f aca="false">IF($B117="","",$V117/$W117)</f>
        <v/>
      </c>
      <c r="Y117" s="10" t="str">
        <f aca="false">IF($B117="","",IF(AND($M117="Có",$J117&lt;=Nguong!$B$16,$K117&lt;=Nguong!$B$17,$L117&lt;=Nguong!$B$18,$R117&lt;=INDEX(Nguong!$B$4:$B$8,$D117)),"Đạt","Không đạt"))</f>
        <v/>
      </c>
      <c r="Z117" s="16" t="str">
        <f aca="false">IF($B117="","",IF($D117&gt;=5,"-",INDEX(IF($C117="Supporter",Nguong!$E$4:$E$8,Nguong!$C$4:$C$8),$D117+1)))</f>
        <v/>
      </c>
      <c r="AA117" s="16" t="str">
        <f aca="false">IF($B117="","",INDEX(IF($C117="Supporter",Nguong!$F$4:$F$8,Nguong!$D$4:$D$8),$D117))</f>
        <v/>
      </c>
      <c r="AB117" s="17" t="str">
        <f aca="false">IF($B117="","",IF($Y117="Không đạt",IF($D117=1,"Không đạt ĐK cần – SM/GĐKV xem xét","Xuống Level "&amp;($D117-1)&amp;" (không đạt ĐK cần)"),IF(AND($D117&lt;5,$Z117&lt;&gt;"-",$X117&lt;=$Z117,$N117="Có",$O117="Có"),"Lên Level "&amp;($D117+1),IF($X117&lt;=$AA117,"Giữ Level "&amp;$D117,"Xuống Level "&amp;($D117-1)&amp;" (ngoài ngưỡng giữ)"))))</f>
        <v/>
      </c>
    </row>
    <row r="118" customFormat="false" ht="15" hidden="false" customHeight="false" outlineLevel="0" collapsed="false">
      <c r="A118" s="7"/>
      <c r="B118" s="7"/>
      <c r="C118" s="8"/>
      <c r="D118" s="8"/>
      <c r="E118" s="8"/>
      <c r="F118" s="9"/>
      <c r="G118" s="9"/>
      <c r="H118" s="9"/>
      <c r="I118" s="9"/>
      <c r="J118" s="9"/>
      <c r="K118" s="9"/>
      <c r="L118" s="9"/>
      <c r="M118" s="8"/>
      <c r="N118" s="8"/>
      <c r="O118" s="8"/>
      <c r="P118" s="10" t="str">
        <f aca="false">IF($B118="","",IF(AND($C118="Supporter",$E118=4),3,$E118))</f>
        <v/>
      </c>
      <c r="Q118" s="11" t="str">
        <f aca="false">IF($B118="","",IF($G118&gt;0,$H118/$G118,0))</f>
        <v/>
      </c>
      <c r="R118" s="12" t="str">
        <f aca="false">IF($B118="","",IF($G118&gt;0,$I118/$G118,0))</f>
        <v/>
      </c>
      <c r="S118" s="13" t="str">
        <f aca="false">IF($B118="","",IF($W118&lt;=1,100,COUNTIFS($C$5:$C$204,$C118,$P$5:$P$204,$P118,$F$5:$F$204,"&lt;"&amp;$F118)/($W118-1)*100))</f>
        <v/>
      </c>
      <c r="T118" s="13" t="str">
        <f aca="false">IF($B118="","",IF($C118="Supporter","-",IF($W118&lt;=1,100,COUNTIFS($C$5:$C$204,$C118,$P$5:$P$204,$P118,$Q$5:$Q$204,"&lt;"&amp;$Q118)/($W118-1)*100)))</f>
        <v/>
      </c>
      <c r="U118" s="14" t="str">
        <f aca="false">IF($B118="","",IF($C118="Supporter",$S118,0.85*$S118+0.15*$T118))</f>
        <v/>
      </c>
      <c r="V118" s="10" t="str">
        <f aca="false">IF($B118="","",COUNTIFS($C$5:$C$204,$C118,$P$5:$P$204,$P118,$U$5:$U$204,"&gt;"&amp;$U118)+1)</f>
        <v/>
      </c>
      <c r="W118" s="10" t="str">
        <f aca="false">IF($B118="","",COUNTIFS($C$5:$C$204,$C118,$P$5:$P$204,$P118))</f>
        <v/>
      </c>
      <c r="X118" s="15" t="str">
        <f aca="false">IF($B118="","",$V118/$W118)</f>
        <v/>
      </c>
      <c r="Y118" s="10" t="str">
        <f aca="false">IF($B118="","",IF(AND($M118="Có",$J118&lt;=Nguong!$B$16,$K118&lt;=Nguong!$B$17,$L118&lt;=Nguong!$B$18,$R118&lt;=INDEX(Nguong!$B$4:$B$8,$D118)),"Đạt","Không đạt"))</f>
        <v/>
      </c>
      <c r="Z118" s="16" t="str">
        <f aca="false">IF($B118="","",IF($D118&gt;=5,"-",INDEX(IF($C118="Supporter",Nguong!$E$4:$E$8,Nguong!$C$4:$C$8),$D118+1)))</f>
        <v/>
      </c>
      <c r="AA118" s="16" t="str">
        <f aca="false">IF($B118="","",INDEX(IF($C118="Supporter",Nguong!$F$4:$F$8,Nguong!$D$4:$D$8),$D118))</f>
        <v/>
      </c>
      <c r="AB118" s="17" t="str">
        <f aca="false">IF($B118="","",IF($Y118="Không đạt",IF($D118=1,"Không đạt ĐK cần – SM/GĐKV xem xét","Xuống Level "&amp;($D118-1)&amp;" (không đạt ĐK cần)"),IF(AND($D118&lt;5,$Z118&lt;&gt;"-",$X118&lt;=$Z118,$N118="Có",$O118="Có"),"Lên Level "&amp;($D118+1),IF($X118&lt;=$AA118,"Giữ Level "&amp;$D118,"Xuống Level "&amp;($D118-1)&amp;" (ngoài ngưỡng giữ)"))))</f>
        <v/>
      </c>
    </row>
    <row r="119" customFormat="false" ht="15" hidden="false" customHeight="false" outlineLevel="0" collapsed="false">
      <c r="A119" s="7"/>
      <c r="B119" s="7"/>
      <c r="C119" s="8"/>
      <c r="D119" s="8"/>
      <c r="E119" s="8"/>
      <c r="F119" s="9"/>
      <c r="G119" s="9"/>
      <c r="H119" s="9"/>
      <c r="I119" s="9"/>
      <c r="J119" s="9"/>
      <c r="K119" s="9"/>
      <c r="L119" s="9"/>
      <c r="M119" s="8"/>
      <c r="N119" s="8"/>
      <c r="O119" s="8"/>
      <c r="P119" s="10" t="str">
        <f aca="false">IF($B119="","",IF(AND($C119="Supporter",$E119=4),3,$E119))</f>
        <v/>
      </c>
      <c r="Q119" s="11" t="str">
        <f aca="false">IF($B119="","",IF($G119&gt;0,$H119/$G119,0))</f>
        <v/>
      </c>
      <c r="R119" s="12" t="str">
        <f aca="false">IF($B119="","",IF($G119&gt;0,$I119/$G119,0))</f>
        <v/>
      </c>
      <c r="S119" s="13" t="str">
        <f aca="false">IF($B119="","",IF($W119&lt;=1,100,COUNTIFS($C$5:$C$204,$C119,$P$5:$P$204,$P119,$F$5:$F$204,"&lt;"&amp;$F119)/($W119-1)*100))</f>
        <v/>
      </c>
      <c r="T119" s="13" t="str">
        <f aca="false">IF($B119="","",IF($C119="Supporter","-",IF($W119&lt;=1,100,COUNTIFS($C$5:$C$204,$C119,$P$5:$P$204,$P119,$Q$5:$Q$204,"&lt;"&amp;$Q119)/($W119-1)*100)))</f>
        <v/>
      </c>
      <c r="U119" s="14" t="str">
        <f aca="false">IF($B119="","",IF($C119="Supporter",$S119,0.85*$S119+0.15*$T119))</f>
        <v/>
      </c>
      <c r="V119" s="10" t="str">
        <f aca="false">IF($B119="","",COUNTIFS($C$5:$C$204,$C119,$P$5:$P$204,$P119,$U$5:$U$204,"&gt;"&amp;$U119)+1)</f>
        <v/>
      </c>
      <c r="W119" s="10" t="str">
        <f aca="false">IF($B119="","",COUNTIFS($C$5:$C$204,$C119,$P$5:$P$204,$P119))</f>
        <v/>
      </c>
      <c r="X119" s="15" t="str">
        <f aca="false">IF($B119="","",$V119/$W119)</f>
        <v/>
      </c>
      <c r="Y119" s="10" t="str">
        <f aca="false">IF($B119="","",IF(AND($M119="Có",$J119&lt;=Nguong!$B$16,$K119&lt;=Nguong!$B$17,$L119&lt;=Nguong!$B$18,$R119&lt;=INDEX(Nguong!$B$4:$B$8,$D119)),"Đạt","Không đạt"))</f>
        <v/>
      </c>
      <c r="Z119" s="16" t="str">
        <f aca="false">IF($B119="","",IF($D119&gt;=5,"-",INDEX(IF($C119="Supporter",Nguong!$E$4:$E$8,Nguong!$C$4:$C$8),$D119+1)))</f>
        <v/>
      </c>
      <c r="AA119" s="16" t="str">
        <f aca="false">IF($B119="","",INDEX(IF($C119="Supporter",Nguong!$F$4:$F$8,Nguong!$D$4:$D$8),$D119))</f>
        <v/>
      </c>
      <c r="AB119" s="17" t="str">
        <f aca="false">IF($B119="","",IF($Y119="Không đạt",IF($D119=1,"Không đạt ĐK cần – SM/GĐKV xem xét","Xuống Level "&amp;($D119-1)&amp;" (không đạt ĐK cần)"),IF(AND($D119&lt;5,$Z119&lt;&gt;"-",$X119&lt;=$Z119,$N119="Có",$O119="Có"),"Lên Level "&amp;($D119+1),IF($X119&lt;=$AA119,"Giữ Level "&amp;$D119,"Xuống Level "&amp;($D119-1)&amp;" (ngoài ngưỡng giữ)"))))</f>
        <v/>
      </c>
    </row>
    <row r="120" customFormat="false" ht="15" hidden="false" customHeight="false" outlineLevel="0" collapsed="false">
      <c r="A120" s="7"/>
      <c r="B120" s="7"/>
      <c r="C120" s="8"/>
      <c r="D120" s="8"/>
      <c r="E120" s="8"/>
      <c r="F120" s="9"/>
      <c r="G120" s="9"/>
      <c r="H120" s="9"/>
      <c r="I120" s="9"/>
      <c r="J120" s="9"/>
      <c r="K120" s="9"/>
      <c r="L120" s="9"/>
      <c r="M120" s="8"/>
      <c r="N120" s="8"/>
      <c r="O120" s="8"/>
      <c r="P120" s="10" t="str">
        <f aca="false">IF($B120="","",IF(AND($C120="Supporter",$E120=4),3,$E120))</f>
        <v/>
      </c>
      <c r="Q120" s="11" t="str">
        <f aca="false">IF($B120="","",IF($G120&gt;0,$H120/$G120,0))</f>
        <v/>
      </c>
      <c r="R120" s="12" t="str">
        <f aca="false">IF($B120="","",IF($G120&gt;0,$I120/$G120,0))</f>
        <v/>
      </c>
      <c r="S120" s="13" t="str">
        <f aca="false">IF($B120="","",IF($W120&lt;=1,100,COUNTIFS($C$5:$C$204,$C120,$P$5:$P$204,$P120,$F$5:$F$204,"&lt;"&amp;$F120)/($W120-1)*100))</f>
        <v/>
      </c>
      <c r="T120" s="13" t="str">
        <f aca="false">IF($B120="","",IF($C120="Supporter","-",IF($W120&lt;=1,100,COUNTIFS($C$5:$C$204,$C120,$P$5:$P$204,$P120,$Q$5:$Q$204,"&lt;"&amp;$Q120)/($W120-1)*100)))</f>
        <v/>
      </c>
      <c r="U120" s="14" t="str">
        <f aca="false">IF($B120="","",IF($C120="Supporter",$S120,0.85*$S120+0.15*$T120))</f>
        <v/>
      </c>
      <c r="V120" s="10" t="str">
        <f aca="false">IF($B120="","",COUNTIFS($C$5:$C$204,$C120,$P$5:$P$204,$P120,$U$5:$U$204,"&gt;"&amp;$U120)+1)</f>
        <v/>
      </c>
      <c r="W120" s="10" t="str">
        <f aca="false">IF($B120="","",COUNTIFS($C$5:$C$204,$C120,$P$5:$P$204,$P120))</f>
        <v/>
      </c>
      <c r="X120" s="15" t="str">
        <f aca="false">IF($B120="","",$V120/$W120)</f>
        <v/>
      </c>
      <c r="Y120" s="10" t="str">
        <f aca="false">IF($B120="","",IF(AND($M120="Có",$J120&lt;=Nguong!$B$16,$K120&lt;=Nguong!$B$17,$L120&lt;=Nguong!$B$18,$R120&lt;=INDEX(Nguong!$B$4:$B$8,$D120)),"Đạt","Không đạt"))</f>
        <v/>
      </c>
      <c r="Z120" s="16" t="str">
        <f aca="false">IF($B120="","",IF($D120&gt;=5,"-",INDEX(IF($C120="Supporter",Nguong!$E$4:$E$8,Nguong!$C$4:$C$8),$D120+1)))</f>
        <v/>
      </c>
      <c r="AA120" s="16" t="str">
        <f aca="false">IF($B120="","",INDEX(IF($C120="Supporter",Nguong!$F$4:$F$8,Nguong!$D$4:$D$8),$D120))</f>
        <v/>
      </c>
      <c r="AB120" s="17" t="str">
        <f aca="false">IF($B120="","",IF($Y120="Không đạt",IF($D120=1,"Không đạt ĐK cần – SM/GĐKV xem xét","Xuống Level "&amp;($D120-1)&amp;" (không đạt ĐK cần)"),IF(AND($D120&lt;5,$Z120&lt;&gt;"-",$X120&lt;=$Z120,$N120="Có",$O120="Có"),"Lên Level "&amp;($D120+1),IF($X120&lt;=$AA120,"Giữ Level "&amp;$D120,"Xuống Level "&amp;($D120-1)&amp;" (ngoài ngưỡng giữ)"))))</f>
        <v/>
      </c>
    </row>
    <row r="121" customFormat="false" ht="15" hidden="false" customHeight="false" outlineLevel="0" collapsed="false">
      <c r="A121" s="7"/>
      <c r="B121" s="7"/>
      <c r="C121" s="8"/>
      <c r="D121" s="8"/>
      <c r="E121" s="8"/>
      <c r="F121" s="9"/>
      <c r="G121" s="9"/>
      <c r="H121" s="9"/>
      <c r="I121" s="9"/>
      <c r="J121" s="9"/>
      <c r="K121" s="9"/>
      <c r="L121" s="9"/>
      <c r="M121" s="8"/>
      <c r="N121" s="8"/>
      <c r="O121" s="8"/>
      <c r="P121" s="10" t="str">
        <f aca="false">IF($B121="","",IF(AND($C121="Supporter",$E121=4),3,$E121))</f>
        <v/>
      </c>
      <c r="Q121" s="11" t="str">
        <f aca="false">IF($B121="","",IF($G121&gt;0,$H121/$G121,0))</f>
        <v/>
      </c>
      <c r="R121" s="12" t="str">
        <f aca="false">IF($B121="","",IF($G121&gt;0,$I121/$G121,0))</f>
        <v/>
      </c>
      <c r="S121" s="13" t="str">
        <f aca="false">IF($B121="","",IF($W121&lt;=1,100,COUNTIFS($C$5:$C$204,$C121,$P$5:$P$204,$P121,$F$5:$F$204,"&lt;"&amp;$F121)/($W121-1)*100))</f>
        <v/>
      </c>
      <c r="T121" s="13" t="str">
        <f aca="false">IF($B121="","",IF($C121="Supporter","-",IF($W121&lt;=1,100,COUNTIFS($C$5:$C$204,$C121,$P$5:$P$204,$P121,$Q$5:$Q$204,"&lt;"&amp;$Q121)/($W121-1)*100)))</f>
        <v/>
      </c>
      <c r="U121" s="14" t="str">
        <f aca="false">IF($B121="","",IF($C121="Supporter",$S121,0.85*$S121+0.15*$T121))</f>
        <v/>
      </c>
      <c r="V121" s="10" t="str">
        <f aca="false">IF($B121="","",COUNTIFS($C$5:$C$204,$C121,$P$5:$P$204,$P121,$U$5:$U$204,"&gt;"&amp;$U121)+1)</f>
        <v/>
      </c>
      <c r="W121" s="10" t="str">
        <f aca="false">IF($B121="","",COUNTIFS($C$5:$C$204,$C121,$P$5:$P$204,$P121))</f>
        <v/>
      </c>
      <c r="X121" s="15" t="str">
        <f aca="false">IF($B121="","",$V121/$W121)</f>
        <v/>
      </c>
      <c r="Y121" s="10" t="str">
        <f aca="false">IF($B121="","",IF(AND($M121="Có",$J121&lt;=Nguong!$B$16,$K121&lt;=Nguong!$B$17,$L121&lt;=Nguong!$B$18,$R121&lt;=INDEX(Nguong!$B$4:$B$8,$D121)),"Đạt","Không đạt"))</f>
        <v/>
      </c>
      <c r="Z121" s="16" t="str">
        <f aca="false">IF($B121="","",IF($D121&gt;=5,"-",INDEX(IF($C121="Supporter",Nguong!$E$4:$E$8,Nguong!$C$4:$C$8),$D121+1)))</f>
        <v/>
      </c>
      <c r="AA121" s="16" t="str">
        <f aca="false">IF($B121="","",INDEX(IF($C121="Supporter",Nguong!$F$4:$F$8,Nguong!$D$4:$D$8),$D121))</f>
        <v/>
      </c>
      <c r="AB121" s="17" t="str">
        <f aca="false">IF($B121="","",IF($Y121="Không đạt",IF($D121=1,"Không đạt ĐK cần – SM/GĐKV xem xét","Xuống Level "&amp;($D121-1)&amp;" (không đạt ĐK cần)"),IF(AND($D121&lt;5,$Z121&lt;&gt;"-",$X121&lt;=$Z121,$N121="Có",$O121="Có"),"Lên Level "&amp;($D121+1),IF($X121&lt;=$AA121,"Giữ Level "&amp;$D121,"Xuống Level "&amp;($D121-1)&amp;" (ngoài ngưỡng giữ)"))))</f>
        <v/>
      </c>
    </row>
    <row r="122" customFormat="false" ht="15" hidden="false" customHeight="false" outlineLevel="0" collapsed="false">
      <c r="A122" s="7"/>
      <c r="B122" s="7"/>
      <c r="C122" s="8"/>
      <c r="D122" s="8"/>
      <c r="E122" s="8"/>
      <c r="F122" s="9"/>
      <c r="G122" s="9"/>
      <c r="H122" s="9"/>
      <c r="I122" s="9"/>
      <c r="J122" s="9"/>
      <c r="K122" s="9"/>
      <c r="L122" s="9"/>
      <c r="M122" s="8"/>
      <c r="N122" s="8"/>
      <c r="O122" s="8"/>
      <c r="P122" s="10" t="str">
        <f aca="false">IF($B122="","",IF(AND($C122="Supporter",$E122=4),3,$E122))</f>
        <v/>
      </c>
      <c r="Q122" s="11" t="str">
        <f aca="false">IF($B122="","",IF($G122&gt;0,$H122/$G122,0))</f>
        <v/>
      </c>
      <c r="R122" s="12" t="str">
        <f aca="false">IF($B122="","",IF($G122&gt;0,$I122/$G122,0))</f>
        <v/>
      </c>
      <c r="S122" s="13" t="str">
        <f aca="false">IF($B122="","",IF($W122&lt;=1,100,COUNTIFS($C$5:$C$204,$C122,$P$5:$P$204,$P122,$F$5:$F$204,"&lt;"&amp;$F122)/($W122-1)*100))</f>
        <v/>
      </c>
      <c r="T122" s="13" t="str">
        <f aca="false">IF($B122="","",IF($C122="Supporter","-",IF($W122&lt;=1,100,COUNTIFS($C$5:$C$204,$C122,$P$5:$P$204,$P122,$Q$5:$Q$204,"&lt;"&amp;$Q122)/($W122-1)*100)))</f>
        <v/>
      </c>
      <c r="U122" s="14" t="str">
        <f aca="false">IF($B122="","",IF($C122="Supporter",$S122,0.85*$S122+0.15*$T122))</f>
        <v/>
      </c>
      <c r="V122" s="10" t="str">
        <f aca="false">IF($B122="","",COUNTIFS($C$5:$C$204,$C122,$P$5:$P$204,$P122,$U$5:$U$204,"&gt;"&amp;$U122)+1)</f>
        <v/>
      </c>
      <c r="W122" s="10" t="str">
        <f aca="false">IF($B122="","",COUNTIFS($C$5:$C$204,$C122,$P$5:$P$204,$P122))</f>
        <v/>
      </c>
      <c r="X122" s="15" t="str">
        <f aca="false">IF($B122="","",$V122/$W122)</f>
        <v/>
      </c>
      <c r="Y122" s="10" t="str">
        <f aca="false">IF($B122="","",IF(AND($M122="Có",$J122&lt;=Nguong!$B$16,$K122&lt;=Nguong!$B$17,$L122&lt;=Nguong!$B$18,$R122&lt;=INDEX(Nguong!$B$4:$B$8,$D122)),"Đạt","Không đạt"))</f>
        <v/>
      </c>
      <c r="Z122" s="16" t="str">
        <f aca="false">IF($B122="","",IF($D122&gt;=5,"-",INDEX(IF($C122="Supporter",Nguong!$E$4:$E$8,Nguong!$C$4:$C$8),$D122+1)))</f>
        <v/>
      </c>
      <c r="AA122" s="16" t="str">
        <f aca="false">IF($B122="","",INDEX(IF($C122="Supporter",Nguong!$F$4:$F$8,Nguong!$D$4:$D$8),$D122))</f>
        <v/>
      </c>
      <c r="AB122" s="17" t="str">
        <f aca="false">IF($B122="","",IF($Y122="Không đạt",IF($D122=1,"Không đạt ĐK cần – SM/GĐKV xem xét","Xuống Level "&amp;($D122-1)&amp;" (không đạt ĐK cần)"),IF(AND($D122&lt;5,$Z122&lt;&gt;"-",$X122&lt;=$Z122,$N122="Có",$O122="Có"),"Lên Level "&amp;($D122+1),IF($X122&lt;=$AA122,"Giữ Level "&amp;$D122,"Xuống Level "&amp;($D122-1)&amp;" (ngoài ngưỡng giữ)"))))</f>
        <v/>
      </c>
    </row>
    <row r="123" customFormat="false" ht="15" hidden="false" customHeight="false" outlineLevel="0" collapsed="false">
      <c r="A123" s="7"/>
      <c r="B123" s="7"/>
      <c r="C123" s="8"/>
      <c r="D123" s="8"/>
      <c r="E123" s="8"/>
      <c r="F123" s="9"/>
      <c r="G123" s="9"/>
      <c r="H123" s="9"/>
      <c r="I123" s="9"/>
      <c r="J123" s="9"/>
      <c r="K123" s="9"/>
      <c r="L123" s="9"/>
      <c r="M123" s="8"/>
      <c r="N123" s="8"/>
      <c r="O123" s="8"/>
      <c r="P123" s="10" t="str">
        <f aca="false">IF($B123="","",IF(AND($C123="Supporter",$E123=4),3,$E123))</f>
        <v/>
      </c>
      <c r="Q123" s="11" t="str">
        <f aca="false">IF($B123="","",IF($G123&gt;0,$H123/$G123,0))</f>
        <v/>
      </c>
      <c r="R123" s="12" t="str">
        <f aca="false">IF($B123="","",IF($G123&gt;0,$I123/$G123,0))</f>
        <v/>
      </c>
      <c r="S123" s="13" t="str">
        <f aca="false">IF($B123="","",IF($W123&lt;=1,100,COUNTIFS($C$5:$C$204,$C123,$P$5:$P$204,$P123,$F$5:$F$204,"&lt;"&amp;$F123)/($W123-1)*100))</f>
        <v/>
      </c>
      <c r="T123" s="13" t="str">
        <f aca="false">IF($B123="","",IF($C123="Supporter","-",IF($W123&lt;=1,100,COUNTIFS($C$5:$C$204,$C123,$P$5:$P$204,$P123,$Q$5:$Q$204,"&lt;"&amp;$Q123)/($W123-1)*100)))</f>
        <v/>
      </c>
      <c r="U123" s="14" t="str">
        <f aca="false">IF($B123="","",IF($C123="Supporter",$S123,0.85*$S123+0.15*$T123))</f>
        <v/>
      </c>
      <c r="V123" s="10" t="str">
        <f aca="false">IF($B123="","",COUNTIFS($C$5:$C$204,$C123,$P$5:$P$204,$P123,$U$5:$U$204,"&gt;"&amp;$U123)+1)</f>
        <v/>
      </c>
      <c r="W123" s="10" t="str">
        <f aca="false">IF($B123="","",COUNTIFS($C$5:$C$204,$C123,$P$5:$P$204,$P123))</f>
        <v/>
      </c>
      <c r="X123" s="15" t="str">
        <f aca="false">IF($B123="","",$V123/$W123)</f>
        <v/>
      </c>
      <c r="Y123" s="10" t="str">
        <f aca="false">IF($B123="","",IF(AND($M123="Có",$J123&lt;=Nguong!$B$16,$K123&lt;=Nguong!$B$17,$L123&lt;=Nguong!$B$18,$R123&lt;=INDEX(Nguong!$B$4:$B$8,$D123)),"Đạt","Không đạt"))</f>
        <v/>
      </c>
      <c r="Z123" s="16" t="str">
        <f aca="false">IF($B123="","",IF($D123&gt;=5,"-",INDEX(IF($C123="Supporter",Nguong!$E$4:$E$8,Nguong!$C$4:$C$8),$D123+1)))</f>
        <v/>
      </c>
      <c r="AA123" s="16" t="str">
        <f aca="false">IF($B123="","",INDEX(IF($C123="Supporter",Nguong!$F$4:$F$8,Nguong!$D$4:$D$8),$D123))</f>
        <v/>
      </c>
      <c r="AB123" s="17" t="str">
        <f aca="false">IF($B123="","",IF($Y123="Không đạt",IF($D123=1,"Không đạt ĐK cần – SM/GĐKV xem xét","Xuống Level "&amp;($D123-1)&amp;" (không đạt ĐK cần)"),IF(AND($D123&lt;5,$Z123&lt;&gt;"-",$X123&lt;=$Z123,$N123="Có",$O123="Có"),"Lên Level "&amp;($D123+1),IF($X123&lt;=$AA123,"Giữ Level "&amp;$D123,"Xuống Level "&amp;($D123-1)&amp;" (ngoài ngưỡng giữ)"))))</f>
        <v/>
      </c>
    </row>
    <row r="124" customFormat="false" ht="15" hidden="false" customHeight="false" outlineLevel="0" collapsed="false">
      <c r="A124" s="7"/>
      <c r="B124" s="7"/>
      <c r="C124" s="8"/>
      <c r="D124" s="8"/>
      <c r="E124" s="8"/>
      <c r="F124" s="9"/>
      <c r="G124" s="9"/>
      <c r="H124" s="9"/>
      <c r="I124" s="9"/>
      <c r="J124" s="9"/>
      <c r="K124" s="9"/>
      <c r="L124" s="9"/>
      <c r="M124" s="8"/>
      <c r="N124" s="8"/>
      <c r="O124" s="8"/>
      <c r="P124" s="10" t="str">
        <f aca="false">IF($B124="","",IF(AND($C124="Supporter",$E124=4),3,$E124))</f>
        <v/>
      </c>
      <c r="Q124" s="11" t="str">
        <f aca="false">IF($B124="","",IF($G124&gt;0,$H124/$G124,0))</f>
        <v/>
      </c>
      <c r="R124" s="12" t="str">
        <f aca="false">IF($B124="","",IF($G124&gt;0,$I124/$G124,0))</f>
        <v/>
      </c>
      <c r="S124" s="13" t="str">
        <f aca="false">IF($B124="","",IF($W124&lt;=1,100,COUNTIFS($C$5:$C$204,$C124,$P$5:$P$204,$P124,$F$5:$F$204,"&lt;"&amp;$F124)/($W124-1)*100))</f>
        <v/>
      </c>
      <c r="T124" s="13" t="str">
        <f aca="false">IF($B124="","",IF($C124="Supporter","-",IF($W124&lt;=1,100,COUNTIFS($C$5:$C$204,$C124,$P$5:$P$204,$P124,$Q$5:$Q$204,"&lt;"&amp;$Q124)/($W124-1)*100)))</f>
        <v/>
      </c>
      <c r="U124" s="14" t="str">
        <f aca="false">IF($B124="","",IF($C124="Supporter",$S124,0.85*$S124+0.15*$T124))</f>
        <v/>
      </c>
      <c r="V124" s="10" t="str">
        <f aca="false">IF($B124="","",COUNTIFS($C$5:$C$204,$C124,$P$5:$P$204,$P124,$U$5:$U$204,"&gt;"&amp;$U124)+1)</f>
        <v/>
      </c>
      <c r="W124" s="10" t="str">
        <f aca="false">IF($B124="","",COUNTIFS($C$5:$C$204,$C124,$P$5:$P$204,$P124))</f>
        <v/>
      </c>
      <c r="X124" s="15" t="str">
        <f aca="false">IF($B124="","",$V124/$W124)</f>
        <v/>
      </c>
      <c r="Y124" s="10" t="str">
        <f aca="false">IF($B124="","",IF(AND($M124="Có",$J124&lt;=Nguong!$B$16,$K124&lt;=Nguong!$B$17,$L124&lt;=Nguong!$B$18,$R124&lt;=INDEX(Nguong!$B$4:$B$8,$D124)),"Đạt","Không đạt"))</f>
        <v/>
      </c>
      <c r="Z124" s="16" t="str">
        <f aca="false">IF($B124="","",IF($D124&gt;=5,"-",INDEX(IF($C124="Supporter",Nguong!$E$4:$E$8,Nguong!$C$4:$C$8),$D124+1)))</f>
        <v/>
      </c>
      <c r="AA124" s="16" t="str">
        <f aca="false">IF($B124="","",INDEX(IF($C124="Supporter",Nguong!$F$4:$F$8,Nguong!$D$4:$D$8),$D124))</f>
        <v/>
      </c>
      <c r="AB124" s="17" t="str">
        <f aca="false">IF($B124="","",IF($Y124="Không đạt",IF($D124=1,"Không đạt ĐK cần – SM/GĐKV xem xét","Xuống Level "&amp;($D124-1)&amp;" (không đạt ĐK cần)"),IF(AND($D124&lt;5,$Z124&lt;&gt;"-",$X124&lt;=$Z124,$N124="Có",$O124="Có"),"Lên Level "&amp;($D124+1),IF($X124&lt;=$AA124,"Giữ Level "&amp;$D124,"Xuống Level "&amp;($D124-1)&amp;" (ngoài ngưỡng giữ)"))))</f>
        <v/>
      </c>
    </row>
    <row r="125" customFormat="false" ht="15" hidden="false" customHeight="false" outlineLevel="0" collapsed="false">
      <c r="A125" s="7"/>
      <c r="B125" s="7"/>
      <c r="C125" s="8"/>
      <c r="D125" s="8"/>
      <c r="E125" s="8"/>
      <c r="F125" s="9"/>
      <c r="G125" s="9"/>
      <c r="H125" s="9"/>
      <c r="I125" s="9"/>
      <c r="J125" s="9"/>
      <c r="K125" s="9"/>
      <c r="L125" s="9"/>
      <c r="M125" s="8"/>
      <c r="N125" s="8"/>
      <c r="O125" s="8"/>
      <c r="P125" s="10" t="str">
        <f aca="false">IF($B125="","",IF(AND($C125="Supporter",$E125=4),3,$E125))</f>
        <v/>
      </c>
      <c r="Q125" s="11" t="str">
        <f aca="false">IF($B125="","",IF($G125&gt;0,$H125/$G125,0))</f>
        <v/>
      </c>
      <c r="R125" s="12" t="str">
        <f aca="false">IF($B125="","",IF($G125&gt;0,$I125/$G125,0))</f>
        <v/>
      </c>
      <c r="S125" s="13" t="str">
        <f aca="false">IF($B125="","",IF($W125&lt;=1,100,COUNTIFS($C$5:$C$204,$C125,$P$5:$P$204,$P125,$F$5:$F$204,"&lt;"&amp;$F125)/($W125-1)*100))</f>
        <v/>
      </c>
      <c r="T125" s="13" t="str">
        <f aca="false">IF($B125="","",IF($C125="Supporter","-",IF($W125&lt;=1,100,COUNTIFS($C$5:$C$204,$C125,$P$5:$P$204,$P125,$Q$5:$Q$204,"&lt;"&amp;$Q125)/($W125-1)*100)))</f>
        <v/>
      </c>
      <c r="U125" s="14" t="str">
        <f aca="false">IF($B125="","",IF($C125="Supporter",$S125,0.85*$S125+0.15*$T125))</f>
        <v/>
      </c>
      <c r="V125" s="10" t="str">
        <f aca="false">IF($B125="","",COUNTIFS($C$5:$C$204,$C125,$P$5:$P$204,$P125,$U$5:$U$204,"&gt;"&amp;$U125)+1)</f>
        <v/>
      </c>
      <c r="W125" s="10" t="str">
        <f aca="false">IF($B125="","",COUNTIFS($C$5:$C$204,$C125,$P$5:$P$204,$P125))</f>
        <v/>
      </c>
      <c r="X125" s="15" t="str">
        <f aca="false">IF($B125="","",$V125/$W125)</f>
        <v/>
      </c>
      <c r="Y125" s="10" t="str">
        <f aca="false">IF($B125="","",IF(AND($M125="Có",$J125&lt;=Nguong!$B$16,$K125&lt;=Nguong!$B$17,$L125&lt;=Nguong!$B$18,$R125&lt;=INDEX(Nguong!$B$4:$B$8,$D125)),"Đạt","Không đạt"))</f>
        <v/>
      </c>
      <c r="Z125" s="16" t="str">
        <f aca="false">IF($B125="","",IF($D125&gt;=5,"-",INDEX(IF($C125="Supporter",Nguong!$E$4:$E$8,Nguong!$C$4:$C$8),$D125+1)))</f>
        <v/>
      </c>
      <c r="AA125" s="16" t="str">
        <f aca="false">IF($B125="","",INDEX(IF($C125="Supporter",Nguong!$F$4:$F$8,Nguong!$D$4:$D$8),$D125))</f>
        <v/>
      </c>
      <c r="AB125" s="17" t="str">
        <f aca="false">IF($B125="","",IF($Y125="Không đạt",IF($D125=1,"Không đạt ĐK cần – SM/GĐKV xem xét","Xuống Level "&amp;($D125-1)&amp;" (không đạt ĐK cần)"),IF(AND($D125&lt;5,$Z125&lt;&gt;"-",$X125&lt;=$Z125,$N125="Có",$O125="Có"),"Lên Level "&amp;($D125+1),IF($X125&lt;=$AA125,"Giữ Level "&amp;$D125,"Xuống Level "&amp;($D125-1)&amp;" (ngoài ngưỡng giữ)"))))</f>
        <v/>
      </c>
    </row>
    <row r="126" customFormat="false" ht="15" hidden="false" customHeight="false" outlineLevel="0" collapsed="false">
      <c r="A126" s="7"/>
      <c r="B126" s="7"/>
      <c r="C126" s="8"/>
      <c r="D126" s="8"/>
      <c r="E126" s="8"/>
      <c r="F126" s="9"/>
      <c r="G126" s="9"/>
      <c r="H126" s="9"/>
      <c r="I126" s="9"/>
      <c r="J126" s="9"/>
      <c r="K126" s="9"/>
      <c r="L126" s="9"/>
      <c r="M126" s="8"/>
      <c r="N126" s="8"/>
      <c r="O126" s="8"/>
      <c r="P126" s="10" t="str">
        <f aca="false">IF($B126="","",IF(AND($C126="Supporter",$E126=4),3,$E126))</f>
        <v/>
      </c>
      <c r="Q126" s="11" t="str">
        <f aca="false">IF($B126="","",IF($G126&gt;0,$H126/$G126,0))</f>
        <v/>
      </c>
      <c r="R126" s="12" t="str">
        <f aca="false">IF($B126="","",IF($G126&gt;0,$I126/$G126,0))</f>
        <v/>
      </c>
      <c r="S126" s="13" t="str">
        <f aca="false">IF($B126="","",IF($W126&lt;=1,100,COUNTIFS($C$5:$C$204,$C126,$P$5:$P$204,$P126,$F$5:$F$204,"&lt;"&amp;$F126)/($W126-1)*100))</f>
        <v/>
      </c>
      <c r="T126" s="13" t="str">
        <f aca="false">IF($B126="","",IF($C126="Supporter","-",IF($W126&lt;=1,100,COUNTIFS($C$5:$C$204,$C126,$P$5:$P$204,$P126,$Q$5:$Q$204,"&lt;"&amp;$Q126)/($W126-1)*100)))</f>
        <v/>
      </c>
      <c r="U126" s="14" t="str">
        <f aca="false">IF($B126="","",IF($C126="Supporter",$S126,0.85*$S126+0.15*$T126))</f>
        <v/>
      </c>
      <c r="V126" s="10" t="str">
        <f aca="false">IF($B126="","",COUNTIFS($C$5:$C$204,$C126,$P$5:$P$204,$P126,$U$5:$U$204,"&gt;"&amp;$U126)+1)</f>
        <v/>
      </c>
      <c r="W126" s="10" t="str">
        <f aca="false">IF($B126="","",COUNTIFS($C$5:$C$204,$C126,$P$5:$P$204,$P126))</f>
        <v/>
      </c>
      <c r="X126" s="15" t="str">
        <f aca="false">IF($B126="","",$V126/$W126)</f>
        <v/>
      </c>
      <c r="Y126" s="10" t="str">
        <f aca="false">IF($B126="","",IF(AND($M126="Có",$J126&lt;=Nguong!$B$16,$K126&lt;=Nguong!$B$17,$L126&lt;=Nguong!$B$18,$R126&lt;=INDEX(Nguong!$B$4:$B$8,$D126)),"Đạt","Không đạt"))</f>
        <v/>
      </c>
      <c r="Z126" s="16" t="str">
        <f aca="false">IF($B126="","",IF($D126&gt;=5,"-",INDEX(IF($C126="Supporter",Nguong!$E$4:$E$8,Nguong!$C$4:$C$8),$D126+1)))</f>
        <v/>
      </c>
      <c r="AA126" s="16" t="str">
        <f aca="false">IF($B126="","",INDEX(IF($C126="Supporter",Nguong!$F$4:$F$8,Nguong!$D$4:$D$8),$D126))</f>
        <v/>
      </c>
      <c r="AB126" s="17" t="str">
        <f aca="false">IF($B126="","",IF($Y126="Không đạt",IF($D126=1,"Không đạt ĐK cần – SM/GĐKV xem xét","Xuống Level "&amp;($D126-1)&amp;" (không đạt ĐK cần)"),IF(AND($D126&lt;5,$Z126&lt;&gt;"-",$X126&lt;=$Z126,$N126="Có",$O126="Có"),"Lên Level "&amp;($D126+1),IF($X126&lt;=$AA126,"Giữ Level "&amp;$D126,"Xuống Level "&amp;($D126-1)&amp;" (ngoài ngưỡng giữ)"))))</f>
        <v/>
      </c>
    </row>
    <row r="127" customFormat="false" ht="15" hidden="false" customHeight="false" outlineLevel="0" collapsed="false">
      <c r="A127" s="7"/>
      <c r="B127" s="7"/>
      <c r="C127" s="8"/>
      <c r="D127" s="8"/>
      <c r="E127" s="8"/>
      <c r="F127" s="9"/>
      <c r="G127" s="9"/>
      <c r="H127" s="9"/>
      <c r="I127" s="9"/>
      <c r="J127" s="9"/>
      <c r="K127" s="9"/>
      <c r="L127" s="9"/>
      <c r="M127" s="8"/>
      <c r="N127" s="8"/>
      <c r="O127" s="8"/>
      <c r="P127" s="10" t="str">
        <f aca="false">IF($B127="","",IF(AND($C127="Supporter",$E127=4),3,$E127))</f>
        <v/>
      </c>
      <c r="Q127" s="11" t="str">
        <f aca="false">IF($B127="","",IF($G127&gt;0,$H127/$G127,0))</f>
        <v/>
      </c>
      <c r="R127" s="12" t="str">
        <f aca="false">IF($B127="","",IF($G127&gt;0,$I127/$G127,0))</f>
        <v/>
      </c>
      <c r="S127" s="13" t="str">
        <f aca="false">IF($B127="","",IF($W127&lt;=1,100,COUNTIFS($C$5:$C$204,$C127,$P$5:$P$204,$P127,$F$5:$F$204,"&lt;"&amp;$F127)/($W127-1)*100))</f>
        <v/>
      </c>
      <c r="T127" s="13" t="str">
        <f aca="false">IF($B127="","",IF($C127="Supporter","-",IF($W127&lt;=1,100,COUNTIFS($C$5:$C$204,$C127,$P$5:$P$204,$P127,$Q$5:$Q$204,"&lt;"&amp;$Q127)/($W127-1)*100)))</f>
        <v/>
      </c>
      <c r="U127" s="14" t="str">
        <f aca="false">IF($B127="","",IF($C127="Supporter",$S127,0.85*$S127+0.15*$T127))</f>
        <v/>
      </c>
      <c r="V127" s="10" t="str">
        <f aca="false">IF($B127="","",COUNTIFS($C$5:$C$204,$C127,$P$5:$P$204,$P127,$U$5:$U$204,"&gt;"&amp;$U127)+1)</f>
        <v/>
      </c>
      <c r="W127" s="10" t="str">
        <f aca="false">IF($B127="","",COUNTIFS($C$5:$C$204,$C127,$P$5:$P$204,$P127))</f>
        <v/>
      </c>
      <c r="X127" s="15" t="str">
        <f aca="false">IF($B127="","",$V127/$W127)</f>
        <v/>
      </c>
      <c r="Y127" s="10" t="str">
        <f aca="false">IF($B127="","",IF(AND($M127="Có",$J127&lt;=Nguong!$B$16,$K127&lt;=Nguong!$B$17,$L127&lt;=Nguong!$B$18,$R127&lt;=INDEX(Nguong!$B$4:$B$8,$D127)),"Đạt","Không đạt"))</f>
        <v/>
      </c>
      <c r="Z127" s="16" t="str">
        <f aca="false">IF($B127="","",IF($D127&gt;=5,"-",INDEX(IF($C127="Supporter",Nguong!$E$4:$E$8,Nguong!$C$4:$C$8),$D127+1)))</f>
        <v/>
      </c>
      <c r="AA127" s="16" t="str">
        <f aca="false">IF($B127="","",INDEX(IF($C127="Supporter",Nguong!$F$4:$F$8,Nguong!$D$4:$D$8),$D127))</f>
        <v/>
      </c>
      <c r="AB127" s="17" t="str">
        <f aca="false">IF($B127="","",IF($Y127="Không đạt",IF($D127=1,"Không đạt ĐK cần – SM/GĐKV xem xét","Xuống Level "&amp;($D127-1)&amp;" (không đạt ĐK cần)"),IF(AND($D127&lt;5,$Z127&lt;&gt;"-",$X127&lt;=$Z127,$N127="Có",$O127="Có"),"Lên Level "&amp;($D127+1),IF($X127&lt;=$AA127,"Giữ Level "&amp;$D127,"Xuống Level "&amp;($D127-1)&amp;" (ngoài ngưỡng giữ)"))))</f>
        <v/>
      </c>
    </row>
    <row r="128" customFormat="false" ht="15" hidden="false" customHeight="false" outlineLevel="0" collapsed="false">
      <c r="A128" s="7"/>
      <c r="B128" s="7"/>
      <c r="C128" s="8"/>
      <c r="D128" s="8"/>
      <c r="E128" s="8"/>
      <c r="F128" s="9"/>
      <c r="G128" s="9"/>
      <c r="H128" s="9"/>
      <c r="I128" s="9"/>
      <c r="J128" s="9"/>
      <c r="K128" s="9"/>
      <c r="L128" s="9"/>
      <c r="M128" s="8"/>
      <c r="N128" s="8"/>
      <c r="O128" s="8"/>
      <c r="P128" s="10" t="str">
        <f aca="false">IF($B128="","",IF(AND($C128="Supporter",$E128=4),3,$E128))</f>
        <v/>
      </c>
      <c r="Q128" s="11" t="str">
        <f aca="false">IF($B128="","",IF($G128&gt;0,$H128/$G128,0))</f>
        <v/>
      </c>
      <c r="R128" s="12" t="str">
        <f aca="false">IF($B128="","",IF($G128&gt;0,$I128/$G128,0))</f>
        <v/>
      </c>
      <c r="S128" s="13" t="str">
        <f aca="false">IF($B128="","",IF($W128&lt;=1,100,COUNTIFS($C$5:$C$204,$C128,$P$5:$P$204,$P128,$F$5:$F$204,"&lt;"&amp;$F128)/($W128-1)*100))</f>
        <v/>
      </c>
      <c r="T128" s="13" t="str">
        <f aca="false">IF($B128="","",IF($C128="Supporter","-",IF($W128&lt;=1,100,COUNTIFS($C$5:$C$204,$C128,$P$5:$P$204,$P128,$Q$5:$Q$204,"&lt;"&amp;$Q128)/($W128-1)*100)))</f>
        <v/>
      </c>
      <c r="U128" s="14" t="str">
        <f aca="false">IF($B128="","",IF($C128="Supporter",$S128,0.85*$S128+0.15*$T128))</f>
        <v/>
      </c>
      <c r="V128" s="10" t="str">
        <f aca="false">IF($B128="","",COUNTIFS($C$5:$C$204,$C128,$P$5:$P$204,$P128,$U$5:$U$204,"&gt;"&amp;$U128)+1)</f>
        <v/>
      </c>
      <c r="W128" s="10" t="str">
        <f aca="false">IF($B128="","",COUNTIFS($C$5:$C$204,$C128,$P$5:$P$204,$P128))</f>
        <v/>
      </c>
      <c r="X128" s="15" t="str">
        <f aca="false">IF($B128="","",$V128/$W128)</f>
        <v/>
      </c>
      <c r="Y128" s="10" t="str">
        <f aca="false">IF($B128="","",IF(AND($M128="Có",$J128&lt;=Nguong!$B$16,$K128&lt;=Nguong!$B$17,$L128&lt;=Nguong!$B$18,$R128&lt;=INDEX(Nguong!$B$4:$B$8,$D128)),"Đạt","Không đạt"))</f>
        <v/>
      </c>
      <c r="Z128" s="16" t="str">
        <f aca="false">IF($B128="","",IF($D128&gt;=5,"-",INDEX(IF($C128="Supporter",Nguong!$E$4:$E$8,Nguong!$C$4:$C$8),$D128+1)))</f>
        <v/>
      </c>
      <c r="AA128" s="16" t="str">
        <f aca="false">IF($B128="","",INDEX(IF($C128="Supporter",Nguong!$F$4:$F$8,Nguong!$D$4:$D$8),$D128))</f>
        <v/>
      </c>
      <c r="AB128" s="17" t="str">
        <f aca="false">IF($B128="","",IF($Y128="Không đạt",IF($D128=1,"Không đạt ĐK cần – SM/GĐKV xem xét","Xuống Level "&amp;($D128-1)&amp;" (không đạt ĐK cần)"),IF(AND($D128&lt;5,$Z128&lt;&gt;"-",$X128&lt;=$Z128,$N128="Có",$O128="Có"),"Lên Level "&amp;($D128+1),IF($X128&lt;=$AA128,"Giữ Level "&amp;$D128,"Xuống Level "&amp;($D128-1)&amp;" (ngoài ngưỡng giữ)"))))</f>
        <v/>
      </c>
    </row>
    <row r="129" customFormat="false" ht="15" hidden="false" customHeight="false" outlineLevel="0" collapsed="false">
      <c r="A129" s="7"/>
      <c r="B129" s="7"/>
      <c r="C129" s="8"/>
      <c r="D129" s="8"/>
      <c r="E129" s="8"/>
      <c r="F129" s="9"/>
      <c r="G129" s="9"/>
      <c r="H129" s="9"/>
      <c r="I129" s="9"/>
      <c r="J129" s="9"/>
      <c r="K129" s="9"/>
      <c r="L129" s="9"/>
      <c r="M129" s="8"/>
      <c r="N129" s="8"/>
      <c r="O129" s="8"/>
      <c r="P129" s="10" t="str">
        <f aca="false">IF($B129="","",IF(AND($C129="Supporter",$E129=4),3,$E129))</f>
        <v/>
      </c>
      <c r="Q129" s="11" t="str">
        <f aca="false">IF($B129="","",IF($G129&gt;0,$H129/$G129,0))</f>
        <v/>
      </c>
      <c r="R129" s="12" t="str">
        <f aca="false">IF($B129="","",IF($G129&gt;0,$I129/$G129,0))</f>
        <v/>
      </c>
      <c r="S129" s="13" t="str">
        <f aca="false">IF($B129="","",IF($W129&lt;=1,100,COUNTIFS($C$5:$C$204,$C129,$P$5:$P$204,$P129,$F$5:$F$204,"&lt;"&amp;$F129)/($W129-1)*100))</f>
        <v/>
      </c>
      <c r="T129" s="13" t="str">
        <f aca="false">IF($B129="","",IF($C129="Supporter","-",IF($W129&lt;=1,100,COUNTIFS($C$5:$C$204,$C129,$P$5:$P$204,$P129,$Q$5:$Q$204,"&lt;"&amp;$Q129)/($W129-1)*100)))</f>
        <v/>
      </c>
      <c r="U129" s="14" t="str">
        <f aca="false">IF($B129="","",IF($C129="Supporter",$S129,0.85*$S129+0.15*$T129))</f>
        <v/>
      </c>
      <c r="V129" s="10" t="str">
        <f aca="false">IF($B129="","",COUNTIFS($C$5:$C$204,$C129,$P$5:$P$204,$P129,$U$5:$U$204,"&gt;"&amp;$U129)+1)</f>
        <v/>
      </c>
      <c r="W129" s="10" t="str">
        <f aca="false">IF($B129="","",COUNTIFS($C$5:$C$204,$C129,$P$5:$P$204,$P129))</f>
        <v/>
      </c>
      <c r="X129" s="15" t="str">
        <f aca="false">IF($B129="","",$V129/$W129)</f>
        <v/>
      </c>
      <c r="Y129" s="10" t="str">
        <f aca="false">IF($B129="","",IF(AND($M129="Có",$J129&lt;=Nguong!$B$16,$K129&lt;=Nguong!$B$17,$L129&lt;=Nguong!$B$18,$R129&lt;=INDEX(Nguong!$B$4:$B$8,$D129)),"Đạt","Không đạt"))</f>
        <v/>
      </c>
      <c r="Z129" s="16" t="str">
        <f aca="false">IF($B129="","",IF($D129&gt;=5,"-",INDEX(IF($C129="Supporter",Nguong!$E$4:$E$8,Nguong!$C$4:$C$8),$D129+1)))</f>
        <v/>
      </c>
      <c r="AA129" s="16" t="str">
        <f aca="false">IF($B129="","",INDEX(IF($C129="Supporter",Nguong!$F$4:$F$8,Nguong!$D$4:$D$8),$D129))</f>
        <v/>
      </c>
      <c r="AB129" s="17" t="str">
        <f aca="false">IF($B129="","",IF($Y129="Không đạt",IF($D129=1,"Không đạt ĐK cần – SM/GĐKV xem xét","Xuống Level "&amp;($D129-1)&amp;" (không đạt ĐK cần)"),IF(AND($D129&lt;5,$Z129&lt;&gt;"-",$X129&lt;=$Z129,$N129="Có",$O129="Có"),"Lên Level "&amp;($D129+1),IF($X129&lt;=$AA129,"Giữ Level "&amp;$D129,"Xuống Level "&amp;($D129-1)&amp;" (ngoài ngưỡng giữ)"))))</f>
        <v/>
      </c>
    </row>
    <row r="130" customFormat="false" ht="15" hidden="false" customHeight="false" outlineLevel="0" collapsed="false">
      <c r="A130" s="7"/>
      <c r="B130" s="7"/>
      <c r="C130" s="8"/>
      <c r="D130" s="8"/>
      <c r="E130" s="8"/>
      <c r="F130" s="9"/>
      <c r="G130" s="9"/>
      <c r="H130" s="9"/>
      <c r="I130" s="9"/>
      <c r="J130" s="9"/>
      <c r="K130" s="9"/>
      <c r="L130" s="9"/>
      <c r="M130" s="8"/>
      <c r="N130" s="8"/>
      <c r="O130" s="8"/>
      <c r="P130" s="10" t="str">
        <f aca="false">IF($B130="","",IF(AND($C130="Supporter",$E130=4),3,$E130))</f>
        <v/>
      </c>
      <c r="Q130" s="11" t="str">
        <f aca="false">IF($B130="","",IF($G130&gt;0,$H130/$G130,0))</f>
        <v/>
      </c>
      <c r="R130" s="12" t="str">
        <f aca="false">IF($B130="","",IF($G130&gt;0,$I130/$G130,0))</f>
        <v/>
      </c>
      <c r="S130" s="13" t="str">
        <f aca="false">IF($B130="","",IF($W130&lt;=1,100,COUNTIFS($C$5:$C$204,$C130,$P$5:$P$204,$P130,$F$5:$F$204,"&lt;"&amp;$F130)/($W130-1)*100))</f>
        <v/>
      </c>
      <c r="T130" s="13" t="str">
        <f aca="false">IF($B130="","",IF($C130="Supporter","-",IF($W130&lt;=1,100,COUNTIFS($C$5:$C$204,$C130,$P$5:$P$204,$P130,$Q$5:$Q$204,"&lt;"&amp;$Q130)/($W130-1)*100)))</f>
        <v/>
      </c>
      <c r="U130" s="14" t="str">
        <f aca="false">IF($B130="","",IF($C130="Supporter",$S130,0.85*$S130+0.15*$T130))</f>
        <v/>
      </c>
      <c r="V130" s="10" t="str">
        <f aca="false">IF($B130="","",COUNTIFS($C$5:$C$204,$C130,$P$5:$P$204,$P130,$U$5:$U$204,"&gt;"&amp;$U130)+1)</f>
        <v/>
      </c>
      <c r="W130" s="10" t="str">
        <f aca="false">IF($B130="","",COUNTIFS($C$5:$C$204,$C130,$P$5:$P$204,$P130))</f>
        <v/>
      </c>
      <c r="X130" s="15" t="str">
        <f aca="false">IF($B130="","",$V130/$W130)</f>
        <v/>
      </c>
      <c r="Y130" s="10" t="str">
        <f aca="false">IF($B130="","",IF(AND($M130="Có",$J130&lt;=Nguong!$B$16,$K130&lt;=Nguong!$B$17,$L130&lt;=Nguong!$B$18,$R130&lt;=INDEX(Nguong!$B$4:$B$8,$D130)),"Đạt","Không đạt"))</f>
        <v/>
      </c>
      <c r="Z130" s="16" t="str">
        <f aca="false">IF($B130="","",IF($D130&gt;=5,"-",INDEX(IF($C130="Supporter",Nguong!$E$4:$E$8,Nguong!$C$4:$C$8),$D130+1)))</f>
        <v/>
      </c>
      <c r="AA130" s="16" t="str">
        <f aca="false">IF($B130="","",INDEX(IF($C130="Supporter",Nguong!$F$4:$F$8,Nguong!$D$4:$D$8),$D130))</f>
        <v/>
      </c>
      <c r="AB130" s="17" t="str">
        <f aca="false">IF($B130="","",IF($Y130="Không đạt",IF($D130=1,"Không đạt ĐK cần – SM/GĐKV xem xét","Xuống Level "&amp;($D130-1)&amp;" (không đạt ĐK cần)"),IF(AND($D130&lt;5,$Z130&lt;&gt;"-",$X130&lt;=$Z130,$N130="Có",$O130="Có"),"Lên Level "&amp;($D130+1),IF($X130&lt;=$AA130,"Giữ Level "&amp;$D130,"Xuống Level "&amp;($D130-1)&amp;" (ngoài ngưỡng giữ)"))))</f>
        <v/>
      </c>
    </row>
    <row r="131" customFormat="false" ht="15" hidden="false" customHeight="false" outlineLevel="0" collapsed="false">
      <c r="A131" s="7"/>
      <c r="B131" s="7"/>
      <c r="C131" s="8"/>
      <c r="D131" s="8"/>
      <c r="E131" s="8"/>
      <c r="F131" s="9"/>
      <c r="G131" s="9"/>
      <c r="H131" s="9"/>
      <c r="I131" s="9"/>
      <c r="J131" s="9"/>
      <c r="K131" s="9"/>
      <c r="L131" s="9"/>
      <c r="M131" s="8"/>
      <c r="N131" s="8"/>
      <c r="O131" s="8"/>
      <c r="P131" s="10" t="str">
        <f aca="false">IF($B131="","",IF(AND($C131="Supporter",$E131=4),3,$E131))</f>
        <v/>
      </c>
      <c r="Q131" s="11" t="str">
        <f aca="false">IF($B131="","",IF($G131&gt;0,$H131/$G131,0))</f>
        <v/>
      </c>
      <c r="R131" s="12" t="str">
        <f aca="false">IF($B131="","",IF($G131&gt;0,$I131/$G131,0))</f>
        <v/>
      </c>
      <c r="S131" s="13" t="str">
        <f aca="false">IF($B131="","",IF($W131&lt;=1,100,COUNTIFS($C$5:$C$204,$C131,$P$5:$P$204,$P131,$F$5:$F$204,"&lt;"&amp;$F131)/($W131-1)*100))</f>
        <v/>
      </c>
      <c r="T131" s="13" t="str">
        <f aca="false">IF($B131="","",IF($C131="Supporter","-",IF($W131&lt;=1,100,COUNTIFS($C$5:$C$204,$C131,$P$5:$P$204,$P131,$Q$5:$Q$204,"&lt;"&amp;$Q131)/($W131-1)*100)))</f>
        <v/>
      </c>
      <c r="U131" s="14" t="str">
        <f aca="false">IF($B131="","",IF($C131="Supporter",$S131,0.85*$S131+0.15*$T131))</f>
        <v/>
      </c>
      <c r="V131" s="10" t="str">
        <f aca="false">IF($B131="","",COUNTIFS($C$5:$C$204,$C131,$P$5:$P$204,$P131,$U$5:$U$204,"&gt;"&amp;$U131)+1)</f>
        <v/>
      </c>
      <c r="W131" s="10" t="str">
        <f aca="false">IF($B131="","",COUNTIFS($C$5:$C$204,$C131,$P$5:$P$204,$P131))</f>
        <v/>
      </c>
      <c r="X131" s="15" t="str">
        <f aca="false">IF($B131="","",$V131/$W131)</f>
        <v/>
      </c>
      <c r="Y131" s="10" t="str">
        <f aca="false">IF($B131="","",IF(AND($M131="Có",$J131&lt;=Nguong!$B$16,$K131&lt;=Nguong!$B$17,$L131&lt;=Nguong!$B$18,$R131&lt;=INDEX(Nguong!$B$4:$B$8,$D131)),"Đạt","Không đạt"))</f>
        <v/>
      </c>
      <c r="Z131" s="16" t="str">
        <f aca="false">IF($B131="","",IF($D131&gt;=5,"-",INDEX(IF($C131="Supporter",Nguong!$E$4:$E$8,Nguong!$C$4:$C$8),$D131+1)))</f>
        <v/>
      </c>
      <c r="AA131" s="16" t="str">
        <f aca="false">IF($B131="","",INDEX(IF($C131="Supporter",Nguong!$F$4:$F$8,Nguong!$D$4:$D$8),$D131))</f>
        <v/>
      </c>
      <c r="AB131" s="17" t="str">
        <f aca="false">IF($B131="","",IF($Y131="Không đạt",IF($D131=1,"Không đạt ĐK cần – SM/GĐKV xem xét","Xuống Level "&amp;($D131-1)&amp;" (không đạt ĐK cần)"),IF(AND($D131&lt;5,$Z131&lt;&gt;"-",$X131&lt;=$Z131,$N131="Có",$O131="Có"),"Lên Level "&amp;($D131+1),IF($X131&lt;=$AA131,"Giữ Level "&amp;$D131,"Xuống Level "&amp;($D131-1)&amp;" (ngoài ngưỡng giữ)"))))</f>
        <v/>
      </c>
    </row>
    <row r="132" customFormat="false" ht="15" hidden="false" customHeight="false" outlineLevel="0" collapsed="false">
      <c r="A132" s="7"/>
      <c r="B132" s="7"/>
      <c r="C132" s="8"/>
      <c r="D132" s="8"/>
      <c r="E132" s="8"/>
      <c r="F132" s="9"/>
      <c r="G132" s="9"/>
      <c r="H132" s="9"/>
      <c r="I132" s="9"/>
      <c r="J132" s="9"/>
      <c r="K132" s="9"/>
      <c r="L132" s="9"/>
      <c r="M132" s="8"/>
      <c r="N132" s="8"/>
      <c r="O132" s="8"/>
      <c r="P132" s="10" t="str">
        <f aca="false">IF($B132="","",IF(AND($C132="Supporter",$E132=4),3,$E132))</f>
        <v/>
      </c>
      <c r="Q132" s="11" t="str">
        <f aca="false">IF($B132="","",IF($G132&gt;0,$H132/$G132,0))</f>
        <v/>
      </c>
      <c r="R132" s="12" t="str">
        <f aca="false">IF($B132="","",IF($G132&gt;0,$I132/$G132,0))</f>
        <v/>
      </c>
      <c r="S132" s="13" t="str">
        <f aca="false">IF($B132="","",IF($W132&lt;=1,100,COUNTIFS($C$5:$C$204,$C132,$P$5:$P$204,$P132,$F$5:$F$204,"&lt;"&amp;$F132)/($W132-1)*100))</f>
        <v/>
      </c>
      <c r="T132" s="13" t="str">
        <f aca="false">IF($B132="","",IF($C132="Supporter","-",IF($W132&lt;=1,100,COUNTIFS($C$5:$C$204,$C132,$P$5:$P$204,$P132,$Q$5:$Q$204,"&lt;"&amp;$Q132)/($W132-1)*100)))</f>
        <v/>
      </c>
      <c r="U132" s="14" t="str">
        <f aca="false">IF($B132="","",IF($C132="Supporter",$S132,0.85*$S132+0.15*$T132))</f>
        <v/>
      </c>
      <c r="V132" s="10" t="str">
        <f aca="false">IF($B132="","",COUNTIFS($C$5:$C$204,$C132,$P$5:$P$204,$P132,$U$5:$U$204,"&gt;"&amp;$U132)+1)</f>
        <v/>
      </c>
      <c r="W132" s="10" t="str">
        <f aca="false">IF($B132="","",COUNTIFS($C$5:$C$204,$C132,$P$5:$P$204,$P132))</f>
        <v/>
      </c>
      <c r="X132" s="15" t="str">
        <f aca="false">IF($B132="","",$V132/$W132)</f>
        <v/>
      </c>
      <c r="Y132" s="10" t="str">
        <f aca="false">IF($B132="","",IF(AND($M132="Có",$J132&lt;=Nguong!$B$16,$K132&lt;=Nguong!$B$17,$L132&lt;=Nguong!$B$18,$R132&lt;=INDEX(Nguong!$B$4:$B$8,$D132)),"Đạt","Không đạt"))</f>
        <v/>
      </c>
      <c r="Z132" s="16" t="str">
        <f aca="false">IF($B132="","",IF($D132&gt;=5,"-",INDEX(IF($C132="Supporter",Nguong!$E$4:$E$8,Nguong!$C$4:$C$8),$D132+1)))</f>
        <v/>
      </c>
      <c r="AA132" s="16" t="str">
        <f aca="false">IF($B132="","",INDEX(IF($C132="Supporter",Nguong!$F$4:$F$8,Nguong!$D$4:$D$8),$D132))</f>
        <v/>
      </c>
      <c r="AB132" s="17" t="str">
        <f aca="false">IF($B132="","",IF($Y132="Không đạt",IF($D132=1,"Không đạt ĐK cần – SM/GĐKV xem xét","Xuống Level "&amp;($D132-1)&amp;" (không đạt ĐK cần)"),IF(AND($D132&lt;5,$Z132&lt;&gt;"-",$X132&lt;=$Z132,$N132="Có",$O132="Có"),"Lên Level "&amp;($D132+1),IF($X132&lt;=$AA132,"Giữ Level "&amp;$D132,"Xuống Level "&amp;($D132-1)&amp;" (ngoài ngưỡng giữ)"))))</f>
        <v/>
      </c>
    </row>
    <row r="133" customFormat="false" ht="15" hidden="false" customHeight="false" outlineLevel="0" collapsed="false">
      <c r="A133" s="7"/>
      <c r="B133" s="7"/>
      <c r="C133" s="8"/>
      <c r="D133" s="8"/>
      <c r="E133" s="8"/>
      <c r="F133" s="9"/>
      <c r="G133" s="9"/>
      <c r="H133" s="9"/>
      <c r="I133" s="9"/>
      <c r="J133" s="9"/>
      <c r="K133" s="9"/>
      <c r="L133" s="9"/>
      <c r="M133" s="8"/>
      <c r="N133" s="8"/>
      <c r="O133" s="8"/>
      <c r="P133" s="10" t="str">
        <f aca="false">IF($B133="","",IF(AND($C133="Supporter",$E133=4),3,$E133))</f>
        <v/>
      </c>
      <c r="Q133" s="11" t="str">
        <f aca="false">IF($B133="","",IF($G133&gt;0,$H133/$G133,0))</f>
        <v/>
      </c>
      <c r="R133" s="12" t="str">
        <f aca="false">IF($B133="","",IF($G133&gt;0,$I133/$G133,0))</f>
        <v/>
      </c>
      <c r="S133" s="13" t="str">
        <f aca="false">IF($B133="","",IF($W133&lt;=1,100,COUNTIFS($C$5:$C$204,$C133,$P$5:$P$204,$P133,$F$5:$F$204,"&lt;"&amp;$F133)/($W133-1)*100))</f>
        <v/>
      </c>
      <c r="T133" s="13" t="str">
        <f aca="false">IF($B133="","",IF($C133="Supporter","-",IF($W133&lt;=1,100,COUNTIFS($C$5:$C$204,$C133,$P$5:$P$204,$P133,$Q$5:$Q$204,"&lt;"&amp;$Q133)/($W133-1)*100)))</f>
        <v/>
      </c>
      <c r="U133" s="14" t="str">
        <f aca="false">IF($B133="","",IF($C133="Supporter",$S133,0.85*$S133+0.15*$T133))</f>
        <v/>
      </c>
      <c r="V133" s="10" t="str">
        <f aca="false">IF($B133="","",COUNTIFS($C$5:$C$204,$C133,$P$5:$P$204,$P133,$U$5:$U$204,"&gt;"&amp;$U133)+1)</f>
        <v/>
      </c>
      <c r="W133" s="10" t="str">
        <f aca="false">IF($B133="","",COUNTIFS($C$5:$C$204,$C133,$P$5:$P$204,$P133))</f>
        <v/>
      </c>
      <c r="X133" s="15" t="str">
        <f aca="false">IF($B133="","",$V133/$W133)</f>
        <v/>
      </c>
      <c r="Y133" s="10" t="str">
        <f aca="false">IF($B133="","",IF(AND($M133="Có",$J133&lt;=Nguong!$B$16,$K133&lt;=Nguong!$B$17,$L133&lt;=Nguong!$B$18,$R133&lt;=INDEX(Nguong!$B$4:$B$8,$D133)),"Đạt","Không đạt"))</f>
        <v/>
      </c>
      <c r="Z133" s="16" t="str">
        <f aca="false">IF($B133="","",IF($D133&gt;=5,"-",INDEX(IF($C133="Supporter",Nguong!$E$4:$E$8,Nguong!$C$4:$C$8),$D133+1)))</f>
        <v/>
      </c>
      <c r="AA133" s="16" t="str">
        <f aca="false">IF($B133="","",INDEX(IF($C133="Supporter",Nguong!$F$4:$F$8,Nguong!$D$4:$D$8),$D133))</f>
        <v/>
      </c>
      <c r="AB133" s="17" t="str">
        <f aca="false">IF($B133="","",IF($Y133="Không đạt",IF($D133=1,"Không đạt ĐK cần – SM/GĐKV xem xét","Xuống Level "&amp;($D133-1)&amp;" (không đạt ĐK cần)"),IF(AND($D133&lt;5,$Z133&lt;&gt;"-",$X133&lt;=$Z133,$N133="Có",$O133="Có"),"Lên Level "&amp;($D133+1),IF($X133&lt;=$AA133,"Giữ Level "&amp;$D133,"Xuống Level "&amp;($D133-1)&amp;" (ngoài ngưỡng giữ)"))))</f>
        <v/>
      </c>
    </row>
    <row r="134" customFormat="false" ht="15" hidden="false" customHeight="false" outlineLevel="0" collapsed="false">
      <c r="A134" s="7"/>
      <c r="B134" s="7"/>
      <c r="C134" s="8"/>
      <c r="D134" s="8"/>
      <c r="E134" s="8"/>
      <c r="F134" s="9"/>
      <c r="G134" s="9"/>
      <c r="H134" s="9"/>
      <c r="I134" s="9"/>
      <c r="J134" s="9"/>
      <c r="K134" s="9"/>
      <c r="L134" s="9"/>
      <c r="M134" s="8"/>
      <c r="N134" s="8"/>
      <c r="O134" s="8"/>
      <c r="P134" s="10" t="str">
        <f aca="false">IF($B134="","",IF(AND($C134="Supporter",$E134=4),3,$E134))</f>
        <v/>
      </c>
      <c r="Q134" s="11" t="str">
        <f aca="false">IF($B134="","",IF($G134&gt;0,$H134/$G134,0))</f>
        <v/>
      </c>
      <c r="R134" s="12" t="str">
        <f aca="false">IF($B134="","",IF($G134&gt;0,$I134/$G134,0))</f>
        <v/>
      </c>
      <c r="S134" s="13" t="str">
        <f aca="false">IF($B134="","",IF($W134&lt;=1,100,COUNTIFS($C$5:$C$204,$C134,$P$5:$P$204,$P134,$F$5:$F$204,"&lt;"&amp;$F134)/($W134-1)*100))</f>
        <v/>
      </c>
      <c r="T134" s="13" t="str">
        <f aca="false">IF($B134="","",IF($C134="Supporter","-",IF($W134&lt;=1,100,COUNTIFS($C$5:$C$204,$C134,$P$5:$P$204,$P134,$Q$5:$Q$204,"&lt;"&amp;$Q134)/($W134-1)*100)))</f>
        <v/>
      </c>
      <c r="U134" s="14" t="str">
        <f aca="false">IF($B134="","",IF($C134="Supporter",$S134,0.85*$S134+0.15*$T134))</f>
        <v/>
      </c>
      <c r="V134" s="10" t="str">
        <f aca="false">IF($B134="","",COUNTIFS($C$5:$C$204,$C134,$P$5:$P$204,$P134,$U$5:$U$204,"&gt;"&amp;$U134)+1)</f>
        <v/>
      </c>
      <c r="W134" s="10" t="str">
        <f aca="false">IF($B134="","",COUNTIFS($C$5:$C$204,$C134,$P$5:$P$204,$P134))</f>
        <v/>
      </c>
      <c r="X134" s="15" t="str">
        <f aca="false">IF($B134="","",$V134/$W134)</f>
        <v/>
      </c>
      <c r="Y134" s="10" t="str">
        <f aca="false">IF($B134="","",IF(AND($M134="Có",$J134&lt;=Nguong!$B$16,$K134&lt;=Nguong!$B$17,$L134&lt;=Nguong!$B$18,$R134&lt;=INDEX(Nguong!$B$4:$B$8,$D134)),"Đạt","Không đạt"))</f>
        <v/>
      </c>
      <c r="Z134" s="16" t="str">
        <f aca="false">IF($B134="","",IF($D134&gt;=5,"-",INDEX(IF($C134="Supporter",Nguong!$E$4:$E$8,Nguong!$C$4:$C$8),$D134+1)))</f>
        <v/>
      </c>
      <c r="AA134" s="16" t="str">
        <f aca="false">IF($B134="","",INDEX(IF($C134="Supporter",Nguong!$F$4:$F$8,Nguong!$D$4:$D$8),$D134))</f>
        <v/>
      </c>
      <c r="AB134" s="17" t="str">
        <f aca="false">IF($B134="","",IF($Y134="Không đạt",IF($D134=1,"Không đạt ĐK cần – SM/GĐKV xem xét","Xuống Level "&amp;($D134-1)&amp;" (không đạt ĐK cần)"),IF(AND($D134&lt;5,$Z134&lt;&gt;"-",$X134&lt;=$Z134,$N134="Có",$O134="Có"),"Lên Level "&amp;($D134+1),IF($X134&lt;=$AA134,"Giữ Level "&amp;$D134,"Xuống Level "&amp;($D134-1)&amp;" (ngoài ngưỡng giữ)"))))</f>
        <v/>
      </c>
    </row>
    <row r="135" customFormat="false" ht="15" hidden="false" customHeight="false" outlineLevel="0" collapsed="false">
      <c r="A135" s="7"/>
      <c r="B135" s="7"/>
      <c r="C135" s="8"/>
      <c r="D135" s="8"/>
      <c r="E135" s="8"/>
      <c r="F135" s="9"/>
      <c r="G135" s="9"/>
      <c r="H135" s="9"/>
      <c r="I135" s="9"/>
      <c r="J135" s="9"/>
      <c r="K135" s="9"/>
      <c r="L135" s="9"/>
      <c r="M135" s="8"/>
      <c r="N135" s="8"/>
      <c r="O135" s="8"/>
      <c r="P135" s="10" t="str">
        <f aca="false">IF($B135="","",IF(AND($C135="Supporter",$E135=4),3,$E135))</f>
        <v/>
      </c>
      <c r="Q135" s="11" t="str">
        <f aca="false">IF($B135="","",IF($G135&gt;0,$H135/$G135,0))</f>
        <v/>
      </c>
      <c r="R135" s="12" t="str">
        <f aca="false">IF($B135="","",IF($G135&gt;0,$I135/$G135,0))</f>
        <v/>
      </c>
      <c r="S135" s="13" t="str">
        <f aca="false">IF($B135="","",IF($W135&lt;=1,100,COUNTIFS($C$5:$C$204,$C135,$P$5:$P$204,$P135,$F$5:$F$204,"&lt;"&amp;$F135)/($W135-1)*100))</f>
        <v/>
      </c>
      <c r="T135" s="13" t="str">
        <f aca="false">IF($B135="","",IF($C135="Supporter","-",IF($W135&lt;=1,100,COUNTIFS($C$5:$C$204,$C135,$P$5:$P$204,$P135,$Q$5:$Q$204,"&lt;"&amp;$Q135)/($W135-1)*100)))</f>
        <v/>
      </c>
      <c r="U135" s="14" t="str">
        <f aca="false">IF($B135="","",IF($C135="Supporter",$S135,0.85*$S135+0.15*$T135))</f>
        <v/>
      </c>
      <c r="V135" s="10" t="str">
        <f aca="false">IF($B135="","",COUNTIFS($C$5:$C$204,$C135,$P$5:$P$204,$P135,$U$5:$U$204,"&gt;"&amp;$U135)+1)</f>
        <v/>
      </c>
      <c r="W135" s="10" t="str">
        <f aca="false">IF($B135="","",COUNTIFS($C$5:$C$204,$C135,$P$5:$P$204,$P135))</f>
        <v/>
      </c>
      <c r="X135" s="15" t="str">
        <f aca="false">IF($B135="","",$V135/$W135)</f>
        <v/>
      </c>
      <c r="Y135" s="10" t="str">
        <f aca="false">IF($B135="","",IF(AND($M135="Có",$J135&lt;=Nguong!$B$16,$K135&lt;=Nguong!$B$17,$L135&lt;=Nguong!$B$18,$R135&lt;=INDEX(Nguong!$B$4:$B$8,$D135)),"Đạt","Không đạt"))</f>
        <v/>
      </c>
      <c r="Z135" s="16" t="str">
        <f aca="false">IF($B135="","",IF($D135&gt;=5,"-",INDEX(IF($C135="Supporter",Nguong!$E$4:$E$8,Nguong!$C$4:$C$8),$D135+1)))</f>
        <v/>
      </c>
      <c r="AA135" s="16" t="str">
        <f aca="false">IF($B135="","",INDEX(IF($C135="Supporter",Nguong!$F$4:$F$8,Nguong!$D$4:$D$8),$D135))</f>
        <v/>
      </c>
      <c r="AB135" s="17" t="str">
        <f aca="false">IF($B135="","",IF($Y135="Không đạt",IF($D135=1,"Không đạt ĐK cần – SM/GĐKV xem xét","Xuống Level "&amp;($D135-1)&amp;" (không đạt ĐK cần)"),IF(AND($D135&lt;5,$Z135&lt;&gt;"-",$X135&lt;=$Z135,$N135="Có",$O135="Có"),"Lên Level "&amp;($D135+1),IF($X135&lt;=$AA135,"Giữ Level "&amp;$D135,"Xuống Level "&amp;($D135-1)&amp;" (ngoài ngưỡng giữ)"))))</f>
        <v/>
      </c>
    </row>
    <row r="136" customFormat="false" ht="15" hidden="false" customHeight="false" outlineLevel="0" collapsed="false">
      <c r="A136" s="7"/>
      <c r="B136" s="7"/>
      <c r="C136" s="8"/>
      <c r="D136" s="8"/>
      <c r="E136" s="8"/>
      <c r="F136" s="9"/>
      <c r="G136" s="9"/>
      <c r="H136" s="9"/>
      <c r="I136" s="9"/>
      <c r="J136" s="9"/>
      <c r="K136" s="9"/>
      <c r="L136" s="9"/>
      <c r="M136" s="8"/>
      <c r="N136" s="8"/>
      <c r="O136" s="8"/>
      <c r="P136" s="10" t="str">
        <f aca="false">IF($B136="","",IF(AND($C136="Supporter",$E136=4),3,$E136))</f>
        <v/>
      </c>
      <c r="Q136" s="11" t="str">
        <f aca="false">IF($B136="","",IF($G136&gt;0,$H136/$G136,0))</f>
        <v/>
      </c>
      <c r="R136" s="12" t="str">
        <f aca="false">IF($B136="","",IF($G136&gt;0,$I136/$G136,0))</f>
        <v/>
      </c>
      <c r="S136" s="13" t="str">
        <f aca="false">IF($B136="","",IF($W136&lt;=1,100,COUNTIFS($C$5:$C$204,$C136,$P$5:$P$204,$P136,$F$5:$F$204,"&lt;"&amp;$F136)/($W136-1)*100))</f>
        <v/>
      </c>
      <c r="T136" s="13" t="str">
        <f aca="false">IF($B136="","",IF($C136="Supporter","-",IF($W136&lt;=1,100,COUNTIFS($C$5:$C$204,$C136,$P$5:$P$204,$P136,$Q$5:$Q$204,"&lt;"&amp;$Q136)/($W136-1)*100)))</f>
        <v/>
      </c>
      <c r="U136" s="14" t="str">
        <f aca="false">IF($B136="","",IF($C136="Supporter",$S136,0.85*$S136+0.15*$T136))</f>
        <v/>
      </c>
      <c r="V136" s="10" t="str">
        <f aca="false">IF($B136="","",COUNTIFS($C$5:$C$204,$C136,$P$5:$P$204,$P136,$U$5:$U$204,"&gt;"&amp;$U136)+1)</f>
        <v/>
      </c>
      <c r="W136" s="10" t="str">
        <f aca="false">IF($B136="","",COUNTIFS($C$5:$C$204,$C136,$P$5:$P$204,$P136))</f>
        <v/>
      </c>
      <c r="X136" s="15" t="str">
        <f aca="false">IF($B136="","",$V136/$W136)</f>
        <v/>
      </c>
      <c r="Y136" s="10" t="str">
        <f aca="false">IF($B136="","",IF(AND($M136="Có",$J136&lt;=Nguong!$B$16,$K136&lt;=Nguong!$B$17,$L136&lt;=Nguong!$B$18,$R136&lt;=INDEX(Nguong!$B$4:$B$8,$D136)),"Đạt","Không đạt"))</f>
        <v/>
      </c>
      <c r="Z136" s="16" t="str">
        <f aca="false">IF($B136="","",IF($D136&gt;=5,"-",INDEX(IF($C136="Supporter",Nguong!$E$4:$E$8,Nguong!$C$4:$C$8),$D136+1)))</f>
        <v/>
      </c>
      <c r="AA136" s="16" t="str">
        <f aca="false">IF($B136="","",INDEX(IF($C136="Supporter",Nguong!$F$4:$F$8,Nguong!$D$4:$D$8),$D136))</f>
        <v/>
      </c>
      <c r="AB136" s="17" t="str">
        <f aca="false">IF($B136="","",IF($Y136="Không đạt",IF($D136=1,"Không đạt ĐK cần – SM/GĐKV xem xét","Xuống Level "&amp;($D136-1)&amp;" (không đạt ĐK cần)"),IF(AND($D136&lt;5,$Z136&lt;&gt;"-",$X136&lt;=$Z136,$N136="Có",$O136="Có"),"Lên Level "&amp;($D136+1),IF($X136&lt;=$AA136,"Giữ Level "&amp;$D136,"Xuống Level "&amp;($D136-1)&amp;" (ngoài ngưỡng giữ)"))))</f>
        <v/>
      </c>
    </row>
    <row r="137" customFormat="false" ht="15" hidden="false" customHeight="false" outlineLevel="0" collapsed="false">
      <c r="A137" s="7"/>
      <c r="B137" s="7"/>
      <c r="C137" s="8"/>
      <c r="D137" s="8"/>
      <c r="E137" s="8"/>
      <c r="F137" s="9"/>
      <c r="G137" s="9"/>
      <c r="H137" s="9"/>
      <c r="I137" s="9"/>
      <c r="J137" s="9"/>
      <c r="K137" s="9"/>
      <c r="L137" s="9"/>
      <c r="M137" s="8"/>
      <c r="N137" s="8"/>
      <c r="O137" s="8"/>
      <c r="P137" s="10" t="str">
        <f aca="false">IF($B137="","",IF(AND($C137="Supporter",$E137=4),3,$E137))</f>
        <v/>
      </c>
      <c r="Q137" s="11" t="str">
        <f aca="false">IF($B137="","",IF($G137&gt;0,$H137/$G137,0))</f>
        <v/>
      </c>
      <c r="R137" s="12" t="str">
        <f aca="false">IF($B137="","",IF($G137&gt;0,$I137/$G137,0))</f>
        <v/>
      </c>
      <c r="S137" s="13" t="str">
        <f aca="false">IF($B137="","",IF($W137&lt;=1,100,COUNTIFS($C$5:$C$204,$C137,$P$5:$P$204,$P137,$F$5:$F$204,"&lt;"&amp;$F137)/($W137-1)*100))</f>
        <v/>
      </c>
      <c r="T137" s="13" t="str">
        <f aca="false">IF($B137="","",IF($C137="Supporter","-",IF($W137&lt;=1,100,COUNTIFS($C$5:$C$204,$C137,$P$5:$P$204,$P137,$Q$5:$Q$204,"&lt;"&amp;$Q137)/($W137-1)*100)))</f>
        <v/>
      </c>
      <c r="U137" s="14" t="str">
        <f aca="false">IF($B137="","",IF($C137="Supporter",$S137,0.85*$S137+0.15*$T137))</f>
        <v/>
      </c>
      <c r="V137" s="10" t="str">
        <f aca="false">IF($B137="","",COUNTIFS($C$5:$C$204,$C137,$P$5:$P$204,$P137,$U$5:$U$204,"&gt;"&amp;$U137)+1)</f>
        <v/>
      </c>
      <c r="W137" s="10" t="str">
        <f aca="false">IF($B137="","",COUNTIFS($C$5:$C$204,$C137,$P$5:$P$204,$P137))</f>
        <v/>
      </c>
      <c r="X137" s="15" t="str">
        <f aca="false">IF($B137="","",$V137/$W137)</f>
        <v/>
      </c>
      <c r="Y137" s="10" t="str">
        <f aca="false">IF($B137="","",IF(AND($M137="Có",$J137&lt;=Nguong!$B$16,$K137&lt;=Nguong!$B$17,$L137&lt;=Nguong!$B$18,$R137&lt;=INDEX(Nguong!$B$4:$B$8,$D137)),"Đạt","Không đạt"))</f>
        <v/>
      </c>
      <c r="Z137" s="16" t="str">
        <f aca="false">IF($B137="","",IF($D137&gt;=5,"-",INDEX(IF($C137="Supporter",Nguong!$E$4:$E$8,Nguong!$C$4:$C$8),$D137+1)))</f>
        <v/>
      </c>
      <c r="AA137" s="16" t="str">
        <f aca="false">IF($B137="","",INDEX(IF($C137="Supporter",Nguong!$F$4:$F$8,Nguong!$D$4:$D$8),$D137))</f>
        <v/>
      </c>
      <c r="AB137" s="17" t="str">
        <f aca="false">IF($B137="","",IF($Y137="Không đạt",IF($D137=1,"Không đạt ĐK cần – SM/GĐKV xem xét","Xuống Level "&amp;($D137-1)&amp;" (không đạt ĐK cần)"),IF(AND($D137&lt;5,$Z137&lt;&gt;"-",$X137&lt;=$Z137,$N137="Có",$O137="Có"),"Lên Level "&amp;($D137+1),IF($X137&lt;=$AA137,"Giữ Level "&amp;$D137,"Xuống Level "&amp;($D137-1)&amp;" (ngoài ngưỡng giữ)"))))</f>
        <v/>
      </c>
    </row>
    <row r="138" customFormat="false" ht="15" hidden="false" customHeight="false" outlineLevel="0" collapsed="false">
      <c r="A138" s="7"/>
      <c r="B138" s="7"/>
      <c r="C138" s="8"/>
      <c r="D138" s="8"/>
      <c r="E138" s="8"/>
      <c r="F138" s="9"/>
      <c r="G138" s="9"/>
      <c r="H138" s="9"/>
      <c r="I138" s="9"/>
      <c r="J138" s="9"/>
      <c r="K138" s="9"/>
      <c r="L138" s="9"/>
      <c r="M138" s="8"/>
      <c r="N138" s="8"/>
      <c r="O138" s="8"/>
      <c r="P138" s="10" t="str">
        <f aca="false">IF($B138="","",IF(AND($C138="Supporter",$E138=4),3,$E138))</f>
        <v/>
      </c>
      <c r="Q138" s="11" t="str">
        <f aca="false">IF($B138="","",IF($G138&gt;0,$H138/$G138,0))</f>
        <v/>
      </c>
      <c r="R138" s="12" t="str">
        <f aca="false">IF($B138="","",IF($G138&gt;0,$I138/$G138,0))</f>
        <v/>
      </c>
      <c r="S138" s="13" t="str">
        <f aca="false">IF($B138="","",IF($W138&lt;=1,100,COUNTIFS($C$5:$C$204,$C138,$P$5:$P$204,$P138,$F$5:$F$204,"&lt;"&amp;$F138)/($W138-1)*100))</f>
        <v/>
      </c>
      <c r="T138" s="13" t="str">
        <f aca="false">IF($B138="","",IF($C138="Supporter","-",IF($W138&lt;=1,100,COUNTIFS($C$5:$C$204,$C138,$P$5:$P$204,$P138,$Q$5:$Q$204,"&lt;"&amp;$Q138)/($W138-1)*100)))</f>
        <v/>
      </c>
      <c r="U138" s="14" t="str">
        <f aca="false">IF($B138="","",IF($C138="Supporter",$S138,0.85*$S138+0.15*$T138))</f>
        <v/>
      </c>
      <c r="V138" s="10" t="str">
        <f aca="false">IF($B138="","",COUNTIFS($C$5:$C$204,$C138,$P$5:$P$204,$P138,$U$5:$U$204,"&gt;"&amp;$U138)+1)</f>
        <v/>
      </c>
      <c r="W138" s="10" t="str">
        <f aca="false">IF($B138="","",COUNTIFS($C$5:$C$204,$C138,$P$5:$P$204,$P138))</f>
        <v/>
      </c>
      <c r="X138" s="15" t="str">
        <f aca="false">IF($B138="","",$V138/$W138)</f>
        <v/>
      </c>
      <c r="Y138" s="10" t="str">
        <f aca="false">IF($B138="","",IF(AND($M138="Có",$J138&lt;=Nguong!$B$16,$K138&lt;=Nguong!$B$17,$L138&lt;=Nguong!$B$18,$R138&lt;=INDEX(Nguong!$B$4:$B$8,$D138)),"Đạt","Không đạt"))</f>
        <v/>
      </c>
      <c r="Z138" s="16" t="str">
        <f aca="false">IF($B138="","",IF($D138&gt;=5,"-",INDEX(IF($C138="Supporter",Nguong!$E$4:$E$8,Nguong!$C$4:$C$8),$D138+1)))</f>
        <v/>
      </c>
      <c r="AA138" s="16" t="str">
        <f aca="false">IF($B138="","",INDEX(IF($C138="Supporter",Nguong!$F$4:$F$8,Nguong!$D$4:$D$8),$D138))</f>
        <v/>
      </c>
      <c r="AB138" s="17" t="str">
        <f aca="false">IF($B138="","",IF($Y138="Không đạt",IF($D138=1,"Không đạt ĐK cần – SM/GĐKV xem xét","Xuống Level "&amp;($D138-1)&amp;" (không đạt ĐK cần)"),IF(AND($D138&lt;5,$Z138&lt;&gt;"-",$X138&lt;=$Z138,$N138="Có",$O138="Có"),"Lên Level "&amp;($D138+1),IF($X138&lt;=$AA138,"Giữ Level "&amp;$D138,"Xuống Level "&amp;($D138-1)&amp;" (ngoài ngưỡng giữ)"))))</f>
        <v/>
      </c>
    </row>
    <row r="139" customFormat="false" ht="15" hidden="false" customHeight="false" outlineLevel="0" collapsed="false">
      <c r="A139" s="7"/>
      <c r="B139" s="7"/>
      <c r="C139" s="8"/>
      <c r="D139" s="8"/>
      <c r="E139" s="8"/>
      <c r="F139" s="9"/>
      <c r="G139" s="9"/>
      <c r="H139" s="9"/>
      <c r="I139" s="9"/>
      <c r="J139" s="9"/>
      <c r="K139" s="9"/>
      <c r="L139" s="9"/>
      <c r="M139" s="8"/>
      <c r="N139" s="8"/>
      <c r="O139" s="8"/>
      <c r="P139" s="10" t="str">
        <f aca="false">IF($B139="","",IF(AND($C139="Supporter",$E139=4),3,$E139))</f>
        <v/>
      </c>
      <c r="Q139" s="11" t="str">
        <f aca="false">IF($B139="","",IF($G139&gt;0,$H139/$G139,0))</f>
        <v/>
      </c>
      <c r="R139" s="12" t="str">
        <f aca="false">IF($B139="","",IF($G139&gt;0,$I139/$G139,0))</f>
        <v/>
      </c>
      <c r="S139" s="13" t="str">
        <f aca="false">IF($B139="","",IF($W139&lt;=1,100,COUNTIFS($C$5:$C$204,$C139,$P$5:$P$204,$P139,$F$5:$F$204,"&lt;"&amp;$F139)/($W139-1)*100))</f>
        <v/>
      </c>
      <c r="T139" s="13" t="str">
        <f aca="false">IF($B139="","",IF($C139="Supporter","-",IF($W139&lt;=1,100,COUNTIFS($C$5:$C$204,$C139,$P$5:$P$204,$P139,$Q$5:$Q$204,"&lt;"&amp;$Q139)/($W139-1)*100)))</f>
        <v/>
      </c>
      <c r="U139" s="14" t="str">
        <f aca="false">IF($B139="","",IF($C139="Supporter",$S139,0.85*$S139+0.15*$T139))</f>
        <v/>
      </c>
      <c r="V139" s="10" t="str">
        <f aca="false">IF($B139="","",COUNTIFS($C$5:$C$204,$C139,$P$5:$P$204,$P139,$U$5:$U$204,"&gt;"&amp;$U139)+1)</f>
        <v/>
      </c>
      <c r="W139" s="10" t="str">
        <f aca="false">IF($B139="","",COUNTIFS($C$5:$C$204,$C139,$P$5:$P$204,$P139))</f>
        <v/>
      </c>
      <c r="X139" s="15" t="str">
        <f aca="false">IF($B139="","",$V139/$W139)</f>
        <v/>
      </c>
      <c r="Y139" s="10" t="str">
        <f aca="false">IF($B139="","",IF(AND($M139="Có",$J139&lt;=Nguong!$B$16,$K139&lt;=Nguong!$B$17,$L139&lt;=Nguong!$B$18,$R139&lt;=INDEX(Nguong!$B$4:$B$8,$D139)),"Đạt","Không đạt"))</f>
        <v/>
      </c>
      <c r="Z139" s="16" t="str">
        <f aca="false">IF($B139="","",IF($D139&gt;=5,"-",INDEX(IF($C139="Supporter",Nguong!$E$4:$E$8,Nguong!$C$4:$C$8),$D139+1)))</f>
        <v/>
      </c>
      <c r="AA139" s="16" t="str">
        <f aca="false">IF($B139="","",INDEX(IF($C139="Supporter",Nguong!$F$4:$F$8,Nguong!$D$4:$D$8),$D139))</f>
        <v/>
      </c>
      <c r="AB139" s="17" t="str">
        <f aca="false">IF($B139="","",IF($Y139="Không đạt",IF($D139=1,"Không đạt ĐK cần – SM/GĐKV xem xét","Xuống Level "&amp;($D139-1)&amp;" (không đạt ĐK cần)"),IF(AND($D139&lt;5,$Z139&lt;&gt;"-",$X139&lt;=$Z139,$N139="Có",$O139="Có"),"Lên Level "&amp;($D139+1),IF($X139&lt;=$AA139,"Giữ Level "&amp;$D139,"Xuống Level "&amp;($D139-1)&amp;" (ngoài ngưỡng giữ)"))))</f>
        <v/>
      </c>
    </row>
    <row r="140" customFormat="false" ht="15" hidden="false" customHeight="false" outlineLevel="0" collapsed="false">
      <c r="A140" s="7"/>
      <c r="B140" s="7"/>
      <c r="C140" s="8"/>
      <c r="D140" s="8"/>
      <c r="E140" s="8"/>
      <c r="F140" s="9"/>
      <c r="G140" s="9"/>
      <c r="H140" s="9"/>
      <c r="I140" s="9"/>
      <c r="J140" s="9"/>
      <c r="K140" s="9"/>
      <c r="L140" s="9"/>
      <c r="M140" s="8"/>
      <c r="N140" s="8"/>
      <c r="O140" s="8"/>
      <c r="P140" s="10" t="str">
        <f aca="false">IF($B140="","",IF(AND($C140="Supporter",$E140=4),3,$E140))</f>
        <v/>
      </c>
      <c r="Q140" s="11" t="str">
        <f aca="false">IF($B140="","",IF($G140&gt;0,$H140/$G140,0))</f>
        <v/>
      </c>
      <c r="R140" s="12" t="str">
        <f aca="false">IF($B140="","",IF($G140&gt;0,$I140/$G140,0))</f>
        <v/>
      </c>
      <c r="S140" s="13" t="str">
        <f aca="false">IF($B140="","",IF($W140&lt;=1,100,COUNTIFS($C$5:$C$204,$C140,$P$5:$P$204,$P140,$F$5:$F$204,"&lt;"&amp;$F140)/($W140-1)*100))</f>
        <v/>
      </c>
      <c r="T140" s="13" t="str">
        <f aca="false">IF($B140="","",IF($C140="Supporter","-",IF($W140&lt;=1,100,COUNTIFS($C$5:$C$204,$C140,$P$5:$P$204,$P140,$Q$5:$Q$204,"&lt;"&amp;$Q140)/($W140-1)*100)))</f>
        <v/>
      </c>
      <c r="U140" s="14" t="str">
        <f aca="false">IF($B140="","",IF($C140="Supporter",$S140,0.85*$S140+0.15*$T140))</f>
        <v/>
      </c>
      <c r="V140" s="10" t="str">
        <f aca="false">IF($B140="","",COUNTIFS($C$5:$C$204,$C140,$P$5:$P$204,$P140,$U$5:$U$204,"&gt;"&amp;$U140)+1)</f>
        <v/>
      </c>
      <c r="W140" s="10" t="str">
        <f aca="false">IF($B140="","",COUNTIFS($C$5:$C$204,$C140,$P$5:$P$204,$P140))</f>
        <v/>
      </c>
      <c r="X140" s="15" t="str">
        <f aca="false">IF($B140="","",$V140/$W140)</f>
        <v/>
      </c>
      <c r="Y140" s="10" t="str">
        <f aca="false">IF($B140="","",IF(AND($M140="Có",$J140&lt;=Nguong!$B$16,$K140&lt;=Nguong!$B$17,$L140&lt;=Nguong!$B$18,$R140&lt;=INDEX(Nguong!$B$4:$B$8,$D140)),"Đạt","Không đạt"))</f>
        <v/>
      </c>
      <c r="Z140" s="16" t="str">
        <f aca="false">IF($B140="","",IF($D140&gt;=5,"-",INDEX(IF($C140="Supporter",Nguong!$E$4:$E$8,Nguong!$C$4:$C$8),$D140+1)))</f>
        <v/>
      </c>
      <c r="AA140" s="16" t="str">
        <f aca="false">IF($B140="","",INDEX(IF($C140="Supporter",Nguong!$F$4:$F$8,Nguong!$D$4:$D$8),$D140))</f>
        <v/>
      </c>
      <c r="AB140" s="17" t="str">
        <f aca="false">IF($B140="","",IF($Y140="Không đạt",IF($D140=1,"Không đạt ĐK cần – SM/GĐKV xem xét","Xuống Level "&amp;($D140-1)&amp;" (không đạt ĐK cần)"),IF(AND($D140&lt;5,$Z140&lt;&gt;"-",$X140&lt;=$Z140,$N140="Có",$O140="Có"),"Lên Level "&amp;($D140+1),IF($X140&lt;=$AA140,"Giữ Level "&amp;$D140,"Xuống Level "&amp;($D140-1)&amp;" (ngoài ngưỡng giữ)"))))</f>
        <v/>
      </c>
    </row>
    <row r="141" customFormat="false" ht="15" hidden="false" customHeight="false" outlineLevel="0" collapsed="false">
      <c r="A141" s="7"/>
      <c r="B141" s="7"/>
      <c r="C141" s="8"/>
      <c r="D141" s="8"/>
      <c r="E141" s="8"/>
      <c r="F141" s="9"/>
      <c r="G141" s="9"/>
      <c r="H141" s="9"/>
      <c r="I141" s="9"/>
      <c r="J141" s="9"/>
      <c r="K141" s="9"/>
      <c r="L141" s="9"/>
      <c r="M141" s="8"/>
      <c r="N141" s="8"/>
      <c r="O141" s="8"/>
      <c r="P141" s="10" t="str">
        <f aca="false">IF($B141="","",IF(AND($C141="Supporter",$E141=4),3,$E141))</f>
        <v/>
      </c>
      <c r="Q141" s="11" t="str">
        <f aca="false">IF($B141="","",IF($G141&gt;0,$H141/$G141,0))</f>
        <v/>
      </c>
      <c r="R141" s="12" t="str">
        <f aca="false">IF($B141="","",IF($G141&gt;0,$I141/$G141,0))</f>
        <v/>
      </c>
      <c r="S141" s="13" t="str">
        <f aca="false">IF($B141="","",IF($W141&lt;=1,100,COUNTIFS($C$5:$C$204,$C141,$P$5:$P$204,$P141,$F$5:$F$204,"&lt;"&amp;$F141)/($W141-1)*100))</f>
        <v/>
      </c>
      <c r="T141" s="13" t="str">
        <f aca="false">IF($B141="","",IF($C141="Supporter","-",IF($W141&lt;=1,100,COUNTIFS($C$5:$C$204,$C141,$P$5:$P$204,$P141,$Q$5:$Q$204,"&lt;"&amp;$Q141)/($W141-1)*100)))</f>
        <v/>
      </c>
      <c r="U141" s="14" t="str">
        <f aca="false">IF($B141="","",IF($C141="Supporter",$S141,0.85*$S141+0.15*$T141))</f>
        <v/>
      </c>
      <c r="V141" s="10" t="str">
        <f aca="false">IF($B141="","",COUNTIFS($C$5:$C$204,$C141,$P$5:$P$204,$P141,$U$5:$U$204,"&gt;"&amp;$U141)+1)</f>
        <v/>
      </c>
      <c r="W141" s="10" t="str">
        <f aca="false">IF($B141="","",COUNTIFS($C$5:$C$204,$C141,$P$5:$P$204,$P141))</f>
        <v/>
      </c>
      <c r="X141" s="15" t="str">
        <f aca="false">IF($B141="","",$V141/$W141)</f>
        <v/>
      </c>
      <c r="Y141" s="10" t="str">
        <f aca="false">IF($B141="","",IF(AND($M141="Có",$J141&lt;=Nguong!$B$16,$K141&lt;=Nguong!$B$17,$L141&lt;=Nguong!$B$18,$R141&lt;=INDEX(Nguong!$B$4:$B$8,$D141)),"Đạt","Không đạt"))</f>
        <v/>
      </c>
      <c r="Z141" s="16" t="str">
        <f aca="false">IF($B141="","",IF($D141&gt;=5,"-",INDEX(IF($C141="Supporter",Nguong!$E$4:$E$8,Nguong!$C$4:$C$8),$D141+1)))</f>
        <v/>
      </c>
      <c r="AA141" s="16" t="str">
        <f aca="false">IF($B141="","",INDEX(IF($C141="Supporter",Nguong!$F$4:$F$8,Nguong!$D$4:$D$8),$D141))</f>
        <v/>
      </c>
      <c r="AB141" s="17" t="str">
        <f aca="false">IF($B141="","",IF($Y141="Không đạt",IF($D141=1,"Không đạt ĐK cần – SM/GĐKV xem xét","Xuống Level "&amp;($D141-1)&amp;" (không đạt ĐK cần)"),IF(AND($D141&lt;5,$Z141&lt;&gt;"-",$X141&lt;=$Z141,$N141="Có",$O141="Có"),"Lên Level "&amp;($D141+1),IF($X141&lt;=$AA141,"Giữ Level "&amp;$D141,"Xuống Level "&amp;($D141-1)&amp;" (ngoài ngưỡng giữ)"))))</f>
        <v/>
      </c>
    </row>
    <row r="142" customFormat="false" ht="15" hidden="false" customHeight="false" outlineLevel="0" collapsed="false">
      <c r="A142" s="7"/>
      <c r="B142" s="7"/>
      <c r="C142" s="8"/>
      <c r="D142" s="8"/>
      <c r="E142" s="8"/>
      <c r="F142" s="9"/>
      <c r="G142" s="9"/>
      <c r="H142" s="9"/>
      <c r="I142" s="9"/>
      <c r="J142" s="9"/>
      <c r="K142" s="9"/>
      <c r="L142" s="9"/>
      <c r="M142" s="8"/>
      <c r="N142" s="8"/>
      <c r="O142" s="8"/>
      <c r="P142" s="10" t="str">
        <f aca="false">IF($B142="","",IF(AND($C142="Supporter",$E142=4),3,$E142))</f>
        <v/>
      </c>
      <c r="Q142" s="11" t="str">
        <f aca="false">IF($B142="","",IF($G142&gt;0,$H142/$G142,0))</f>
        <v/>
      </c>
      <c r="R142" s="12" t="str">
        <f aca="false">IF($B142="","",IF($G142&gt;0,$I142/$G142,0))</f>
        <v/>
      </c>
      <c r="S142" s="13" t="str">
        <f aca="false">IF($B142="","",IF($W142&lt;=1,100,COUNTIFS($C$5:$C$204,$C142,$P$5:$P$204,$P142,$F$5:$F$204,"&lt;"&amp;$F142)/($W142-1)*100))</f>
        <v/>
      </c>
      <c r="T142" s="13" t="str">
        <f aca="false">IF($B142="","",IF($C142="Supporter","-",IF($W142&lt;=1,100,COUNTIFS($C$5:$C$204,$C142,$P$5:$P$204,$P142,$Q$5:$Q$204,"&lt;"&amp;$Q142)/($W142-1)*100)))</f>
        <v/>
      </c>
      <c r="U142" s="14" t="str">
        <f aca="false">IF($B142="","",IF($C142="Supporter",$S142,0.85*$S142+0.15*$T142))</f>
        <v/>
      </c>
      <c r="V142" s="10" t="str">
        <f aca="false">IF($B142="","",COUNTIFS($C$5:$C$204,$C142,$P$5:$P$204,$P142,$U$5:$U$204,"&gt;"&amp;$U142)+1)</f>
        <v/>
      </c>
      <c r="W142" s="10" t="str">
        <f aca="false">IF($B142="","",COUNTIFS($C$5:$C$204,$C142,$P$5:$P$204,$P142))</f>
        <v/>
      </c>
      <c r="X142" s="15" t="str">
        <f aca="false">IF($B142="","",$V142/$W142)</f>
        <v/>
      </c>
      <c r="Y142" s="10" t="str">
        <f aca="false">IF($B142="","",IF(AND($M142="Có",$J142&lt;=Nguong!$B$16,$K142&lt;=Nguong!$B$17,$L142&lt;=Nguong!$B$18,$R142&lt;=INDEX(Nguong!$B$4:$B$8,$D142)),"Đạt","Không đạt"))</f>
        <v/>
      </c>
      <c r="Z142" s="16" t="str">
        <f aca="false">IF($B142="","",IF($D142&gt;=5,"-",INDEX(IF($C142="Supporter",Nguong!$E$4:$E$8,Nguong!$C$4:$C$8),$D142+1)))</f>
        <v/>
      </c>
      <c r="AA142" s="16" t="str">
        <f aca="false">IF($B142="","",INDEX(IF($C142="Supporter",Nguong!$F$4:$F$8,Nguong!$D$4:$D$8),$D142))</f>
        <v/>
      </c>
      <c r="AB142" s="17" t="str">
        <f aca="false">IF($B142="","",IF($Y142="Không đạt",IF($D142=1,"Không đạt ĐK cần – SM/GĐKV xem xét","Xuống Level "&amp;($D142-1)&amp;" (không đạt ĐK cần)"),IF(AND($D142&lt;5,$Z142&lt;&gt;"-",$X142&lt;=$Z142,$N142="Có",$O142="Có"),"Lên Level "&amp;($D142+1),IF($X142&lt;=$AA142,"Giữ Level "&amp;$D142,"Xuống Level "&amp;($D142-1)&amp;" (ngoài ngưỡng giữ)"))))</f>
        <v/>
      </c>
    </row>
    <row r="143" customFormat="false" ht="15" hidden="false" customHeight="false" outlineLevel="0" collapsed="false">
      <c r="A143" s="7"/>
      <c r="B143" s="7"/>
      <c r="C143" s="8"/>
      <c r="D143" s="8"/>
      <c r="E143" s="8"/>
      <c r="F143" s="9"/>
      <c r="G143" s="9"/>
      <c r="H143" s="9"/>
      <c r="I143" s="9"/>
      <c r="J143" s="9"/>
      <c r="K143" s="9"/>
      <c r="L143" s="9"/>
      <c r="M143" s="8"/>
      <c r="N143" s="8"/>
      <c r="O143" s="8"/>
      <c r="P143" s="10" t="str">
        <f aca="false">IF($B143="","",IF(AND($C143="Supporter",$E143=4),3,$E143))</f>
        <v/>
      </c>
      <c r="Q143" s="11" t="str">
        <f aca="false">IF($B143="","",IF($G143&gt;0,$H143/$G143,0))</f>
        <v/>
      </c>
      <c r="R143" s="12" t="str">
        <f aca="false">IF($B143="","",IF($G143&gt;0,$I143/$G143,0))</f>
        <v/>
      </c>
      <c r="S143" s="13" t="str">
        <f aca="false">IF($B143="","",IF($W143&lt;=1,100,COUNTIFS($C$5:$C$204,$C143,$P$5:$P$204,$P143,$F$5:$F$204,"&lt;"&amp;$F143)/($W143-1)*100))</f>
        <v/>
      </c>
      <c r="T143" s="13" t="str">
        <f aca="false">IF($B143="","",IF($C143="Supporter","-",IF($W143&lt;=1,100,COUNTIFS($C$5:$C$204,$C143,$P$5:$P$204,$P143,$Q$5:$Q$204,"&lt;"&amp;$Q143)/($W143-1)*100)))</f>
        <v/>
      </c>
      <c r="U143" s="14" t="str">
        <f aca="false">IF($B143="","",IF($C143="Supporter",$S143,0.85*$S143+0.15*$T143))</f>
        <v/>
      </c>
      <c r="V143" s="10" t="str">
        <f aca="false">IF($B143="","",COUNTIFS($C$5:$C$204,$C143,$P$5:$P$204,$P143,$U$5:$U$204,"&gt;"&amp;$U143)+1)</f>
        <v/>
      </c>
      <c r="W143" s="10" t="str">
        <f aca="false">IF($B143="","",COUNTIFS($C$5:$C$204,$C143,$P$5:$P$204,$P143))</f>
        <v/>
      </c>
      <c r="X143" s="15" t="str">
        <f aca="false">IF($B143="","",$V143/$W143)</f>
        <v/>
      </c>
      <c r="Y143" s="10" t="str">
        <f aca="false">IF($B143="","",IF(AND($M143="Có",$J143&lt;=Nguong!$B$16,$K143&lt;=Nguong!$B$17,$L143&lt;=Nguong!$B$18,$R143&lt;=INDEX(Nguong!$B$4:$B$8,$D143)),"Đạt","Không đạt"))</f>
        <v/>
      </c>
      <c r="Z143" s="16" t="str">
        <f aca="false">IF($B143="","",IF($D143&gt;=5,"-",INDEX(IF($C143="Supporter",Nguong!$E$4:$E$8,Nguong!$C$4:$C$8),$D143+1)))</f>
        <v/>
      </c>
      <c r="AA143" s="16" t="str">
        <f aca="false">IF($B143="","",INDEX(IF($C143="Supporter",Nguong!$F$4:$F$8,Nguong!$D$4:$D$8),$D143))</f>
        <v/>
      </c>
      <c r="AB143" s="17" t="str">
        <f aca="false">IF($B143="","",IF($Y143="Không đạt",IF($D143=1,"Không đạt ĐK cần – SM/GĐKV xem xét","Xuống Level "&amp;($D143-1)&amp;" (không đạt ĐK cần)"),IF(AND($D143&lt;5,$Z143&lt;&gt;"-",$X143&lt;=$Z143,$N143="Có",$O143="Có"),"Lên Level "&amp;($D143+1),IF($X143&lt;=$AA143,"Giữ Level "&amp;$D143,"Xuống Level "&amp;($D143-1)&amp;" (ngoài ngưỡng giữ)"))))</f>
        <v/>
      </c>
    </row>
    <row r="144" customFormat="false" ht="15" hidden="false" customHeight="false" outlineLevel="0" collapsed="false">
      <c r="A144" s="7"/>
      <c r="B144" s="7"/>
      <c r="C144" s="8"/>
      <c r="D144" s="8"/>
      <c r="E144" s="8"/>
      <c r="F144" s="9"/>
      <c r="G144" s="9"/>
      <c r="H144" s="9"/>
      <c r="I144" s="9"/>
      <c r="J144" s="9"/>
      <c r="K144" s="9"/>
      <c r="L144" s="9"/>
      <c r="M144" s="8"/>
      <c r="N144" s="8"/>
      <c r="O144" s="8"/>
      <c r="P144" s="10" t="str">
        <f aca="false">IF($B144="","",IF(AND($C144="Supporter",$E144=4),3,$E144))</f>
        <v/>
      </c>
      <c r="Q144" s="11" t="str">
        <f aca="false">IF($B144="","",IF($G144&gt;0,$H144/$G144,0))</f>
        <v/>
      </c>
      <c r="R144" s="12" t="str">
        <f aca="false">IF($B144="","",IF($G144&gt;0,$I144/$G144,0))</f>
        <v/>
      </c>
      <c r="S144" s="13" t="str">
        <f aca="false">IF($B144="","",IF($W144&lt;=1,100,COUNTIFS($C$5:$C$204,$C144,$P$5:$P$204,$P144,$F$5:$F$204,"&lt;"&amp;$F144)/($W144-1)*100))</f>
        <v/>
      </c>
      <c r="T144" s="13" t="str">
        <f aca="false">IF($B144="","",IF($C144="Supporter","-",IF($W144&lt;=1,100,COUNTIFS($C$5:$C$204,$C144,$P$5:$P$204,$P144,$Q$5:$Q$204,"&lt;"&amp;$Q144)/($W144-1)*100)))</f>
        <v/>
      </c>
      <c r="U144" s="14" t="str">
        <f aca="false">IF($B144="","",IF($C144="Supporter",$S144,0.85*$S144+0.15*$T144))</f>
        <v/>
      </c>
      <c r="V144" s="10" t="str">
        <f aca="false">IF($B144="","",COUNTIFS($C$5:$C$204,$C144,$P$5:$P$204,$P144,$U$5:$U$204,"&gt;"&amp;$U144)+1)</f>
        <v/>
      </c>
      <c r="W144" s="10" t="str">
        <f aca="false">IF($B144="","",COUNTIFS($C$5:$C$204,$C144,$P$5:$P$204,$P144))</f>
        <v/>
      </c>
      <c r="X144" s="15" t="str">
        <f aca="false">IF($B144="","",$V144/$W144)</f>
        <v/>
      </c>
      <c r="Y144" s="10" t="str">
        <f aca="false">IF($B144="","",IF(AND($M144="Có",$J144&lt;=Nguong!$B$16,$K144&lt;=Nguong!$B$17,$L144&lt;=Nguong!$B$18,$R144&lt;=INDEX(Nguong!$B$4:$B$8,$D144)),"Đạt","Không đạt"))</f>
        <v/>
      </c>
      <c r="Z144" s="16" t="str">
        <f aca="false">IF($B144="","",IF($D144&gt;=5,"-",INDEX(IF($C144="Supporter",Nguong!$E$4:$E$8,Nguong!$C$4:$C$8),$D144+1)))</f>
        <v/>
      </c>
      <c r="AA144" s="16" t="str">
        <f aca="false">IF($B144="","",INDEX(IF($C144="Supporter",Nguong!$F$4:$F$8,Nguong!$D$4:$D$8),$D144))</f>
        <v/>
      </c>
      <c r="AB144" s="17" t="str">
        <f aca="false">IF($B144="","",IF($Y144="Không đạt",IF($D144=1,"Không đạt ĐK cần – SM/GĐKV xem xét","Xuống Level "&amp;($D144-1)&amp;" (không đạt ĐK cần)"),IF(AND($D144&lt;5,$Z144&lt;&gt;"-",$X144&lt;=$Z144,$N144="Có",$O144="Có"),"Lên Level "&amp;($D144+1),IF($X144&lt;=$AA144,"Giữ Level "&amp;$D144,"Xuống Level "&amp;($D144-1)&amp;" (ngoài ngưỡng giữ)"))))</f>
        <v/>
      </c>
    </row>
    <row r="145" customFormat="false" ht="15" hidden="false" customHeight="false" outlineLevel="0" collapsed="false">
      <c r="A145" s="7"/>
      <c r="B145" s="7"/>
      <c r="C145" s="8"/>
      <c r="D145" s="8"/>
      <c r="E145" s="8"/>
      <c r="F145" s="9"/>
      <c r="G145" s="9"/>
      <c r="H145" s="9"/>
      <c r="I145" s="9"/>
      <c r="J145" s="9"/>
      <c r="K145" s="9"/>
      <c r="L145" s="9"/>
      <c r="M145" s="8"/>
      <c r="N145" s="8"/>
      <c r="O145" s="8"/>
      <c r="P145" s="10" t="str">
        <f aca="false">IF($B145="","",IF(AND($C145="Supporter",$E145=4),3,$E145))</f>
        <v/>
      </c>
      <c r="Q145" s="11" t="str">
        <f aca="false">IF($B145="","",IF($G145&gt;0,$H145/$G145,0))</f>
        <v/>
      </c>
      <c r="R145" s="12" t="str">
        <f aca="false">IF($B145="","",IF($G145&gt;0,$I145/$G145,0))</f>
        <v/>
      </c>
      <c r="S145" s="13" t="str">
        <f aca="false">IF($B145="","",IF($W145&lt;=1,100,COUNTIFS($C$5:$C$204,$C145,$P$5:$P$204,$P145,$F$5:$F$204,"&lt;"&amp;$F145)/($W145-1)*100))</f>
        <v/>
      </c>
      <c r="T145" s="13" t="str">
        <f aca="false">IF($B145="","",IF($C145="Supporter","-",IF($W145&lt;=1,100,COUNTIFS($C$5:$C$204,$C145,$P$5:$P$204,$P145,$Q$5:$Q$204,"&lt;"&amp;$Q145)/($W145-1)*100)))</f>
        <v/>
      </c>
      <c r="U145" s="14" t="str">
        <f aca="false">IF($B145="","",IF($C145="Supporter",$S145,0.85*$S145+0.15*$T145))</f>
        <v/>
      </c>
      <c r="V145" s="10" t="str">
        <f aca="false">IF($B145="","",COUNTIFS($C$5:$C$204,$C145,$P$5:$P$204,$P145,$U$5:$U$204,"&gt;"&amp;$U145)+1)</f>
        <v/>
      </c>
      <c r="W145" s="10" t="str">
        <f aca="false">IF($B145="","",COUNTIFS($C$5:$C$204,$C145,$P$5:$P$204,$P145))</f>
        <v/>
      </c>
      <c r="X145" s="15" t="str">
        <f aca="false">IF($B145="","",$V145/$W145)</f>
        <v/>
      </c>
      <c r="Y145" s="10" t="str">
        <f aca="false">IF($B145="","",IF(AND($M145="Có",$J145&lt;=Nguong!$B$16,$K145&lt;=Nguong!$B$17,$L145&lt;=Nguong!$B$18,$R145&lt;=INDEX(Nguong!$B$4:$B$8,$D145)),"Đạt","Không đạt"))</f>
        <v/>
      </c>
      <c r="Z145" s="16" t="str">
        <f aca="false">IF($B145="","",IF($D145&gt;=5,"-",INDEX(IF($C145="Supporter",Nguong!$E$4:$E$8,Nguong!$C$4:$C$8),$D145+1)))</f>
        <v/>
      </c>
      <c r="AA145" s="16" t="str">
        <f aca="false">IF($B145="","",INDEX(IF($C145="Supporter",Nguong!$F$4:$F$8,Nguong!$D$4:$D$8),$D145))</f>
        <v/>
      </c>
      <c r="AB145" s="17" t="str">
        <f aca="false">IF($B145="","",IF($Y145="Không đạt",IF($D145=1,"Không đạt ĐK cần – SM/GĐKV xem xét","Xuống Level "&amp;($D145-1)&amp;" (không đạt ĐK cần)"),IF(AND($D145&lt;5,$Z145&lt;&gt;"-",$X145&lt;=$Z145,$N145="Có",$O145="Có"),"Lên Level "&amp;($D145+1),IF($X145&lt;=$AA145,"Giữ Level "&amp;$D145,"Xuống Level "&amp;($D145-1)&amp;" (ngoài ngưỡng giữ)"))))</f>
        <v/>
      </c>
    </row>
    <row r="146" customFormat="false" ht="15" hidden="false" customHeight="false" outlineLevel="0" collapsed="false">
      <c r="A146" s="7"/>
      <c r="B146" s="7"/>
      <c r="C146" s="8"/>
      <c r="D146" s="8"/>
      <c r="E146" s="8"/>
      <c r="F146" s="9"/>
      <c r="G146" s="9"/>
      <c r="H146" s="9"/>
      <c r="I146" s="9"/>
      <c r="J146" s="9"/>
      <c r="K146" s="9"/>
      <c r="L146" s="9"/>
      <c r="M146" s="8"/>
      <c r="N146" s="8"/>
      <c r="O146" s="8"/>
      <c r="P146" s="10" t="str">
        <f aca="false">IF($B146="","",IF(AND($C146="Supporter",$E146=4),3,$E146))</f>
        <v/>
      </c>
      <c r="Q146" s="11" t="str">
        <f aca="false">IF($B146="","",IF($G146&gt;0,$H146/$G146,0))</f>
        <v/>
      </c>
      <c r="R146" s="12" t="str">
        <f aca="false">IF($B146="","",IF($G146&gt;0,$I146/$G146,0))</f>
        <v/>
      </c>
      <c r="S146" s="13" t="str">
        <f aca="false">IF($B146="","",IF($W146&lt;=1,100,COUNTIFS($C$5:$C$204,$C146,$P$5:$P$204,$P146,$F$5:$F$204,"&lt;"&amp;$F146)/($W146-1)*100))</f>
        <v/>
      </c>
      <c r="T146" s="13" t="str">
        <f aca="false">IF($B146="","",IF($C146="Supporter","-",IF($W146&lt;=1,100,COUNTIFS($C$5:$C$204,$C146,$P$5:$P$204,$P146,$Q$5:$Q$204,"&lt;"&amp;$Q146)/($W146-1)*100)))</f>
        <v/>
      </c>
      <c r="U146" s="14" t="str">
        <f aca="false">IF($B146="","",IF($C146="Supporter",$S146,0.85*$S146+0.15*$T146))</f>
        <v/>
      </c>
      <c r="V146" s="10" t="str">
        <f aca="false">IF($B146="","",COUNTIFS($C$5:$C$204,$C146,$P$5:$P$204,$P146,$U$5:$U$204,"&gt;"&amp;$U146)+1)</f>
        <v/>
      </c>
      <c r="W146" s="10" t="str">
        <f aca="false">IF($B146="","",COUNTIFS($C$5:$C$204,$C146,$P$5:$P$204,$P146))</f>
        <v/>
      </c>
      <c r="X146" s="15" t="str">
        <f aca="false">IF($B146="","",$V146/$W146)</f>
        <v/>
      </c>
      <c r="Y146" s="10" t="str">
        <f aca="false">IF($B146="","",IF(AND($M146="Có",$J146&lt;=Nguong!$B$16,$K146&lt;=Nguong!$B$17,$L146&lt;=Nguong!$B$18,$R146&lt;=INDEX(Nguong!$B$4:$B$8,$D146)),"Đạt","Không đạt"))</f>
        <v/>
      </c>
      <c r="Z146" s="16" t="str">
        <f aca="false">IF($B146="","",IF($D146&gt;=5,"-",INDEX(IF($C146="Supporter",Nguong!$E$4:$E$8,Nguong!$C$4:$C$8),$D146+1)))</f>
        <v/>
      </c>
      <c r="AA146" s="16" t="str">
        <f aca="false">IF($B146="","",INDEX(IF($C146="Supporter",Nguong!$F$4:$F$8,Nguong!$D$4:$D$8),$D146))</f>
        <v/>
      </c>
      <c r="AB146" s="17" t="str">
        <f aca="false">IF($B146="","",IF($Y146="Không đạt",IF($D146=1,"Không đạt ĐK cần – SM/GĐKV xem xét","Xuống Level "&amp;($D146-1)&amp;" (không đạt ĐK cần)"),IF(AND($D146&lt;5,$Z146&lt;&gt;"-",$X146&lt;=$Z146,$N146="Có",$O146="Có"),"Lên Level "&amp;($D146+1),IF($X146&lt;=$AA146,"Giữ Level "&amp;$D146,"Xuống Level "&amp;($D146-1)&amp;" (ngoài ngưỡng giữ)"))))</f>
        <v/>
      </c>
    </row>
    <row r="147" customFormat="false" ht="15" hidden="false" customHeight="false" outlineLevel="0" collapsed="false">
      <c r="A147" s="7"/>
      <c r="B147" s="7"/>
      <c r="C147" s="8"/>
      <c r="D147" s="8"/>
      <c r="E147" s="8"/>
      <c r="F147" s="9"/>
      <c r="G147" s="9"/>
      <c r="H147" s="9"/>
      <c r="I147" s="9"/>
      <c r="J147" s="9"/>
      <c r="K147" s="9"/>
      <c r="L147" s="9"/>
      <c r="M147" s="8"/>
      <c r="N147" s="8"/>
      <c r="O147" s="8"/>
      <c r="P147" s="10" t="str">
        <f aca="false">IF($B147="","",IF(AND($C147="Supporter",$E147=4),3,$E147))</f>
        <v/>
      </c>
      <c r="Q147" s="11" t="str">
        <f aca="false">IF($B147="","",IF($G147&gt;0,$H147/$G147,0))</f>
        <v/>
      </c>
      <c r="R147" s="12" t="str">
        <f aca="false">IF($B147="","",IF($G147&gt;0,$I147/$G147,0))</f>
        <v/>
      </c>
      <c r="S147" s="13" t="str">
        <f aca="false">IF($B147="","",IF($W147&lt;=1,100,COUNTIFS($C$5:$C$204,$C147,$P$5:$P$204,$P147,$F$5:$F$204,"&lt;"&amp;$F147)/($W147-1)*100))</f>
        <v/>
      </c>
      <c r="T147" s="13" t="str">
        <f aca="false">IF($B147="","",IF($C147="Supporter","-",IF($W147&lt;=1,100,COUNTIFS($C$5:$C$204,$C147,$P$5:$P$204,$P147,$Q$5:$Q$204,"&lt;"&amp;$Q147)/($W147-1)*100)))</f>
        <v/>
      </c>
      <c r="U147" s="14" t="str">
        <f aca="false">IF($B147="","",IF($C147="Supporter",$S147,0.85*$S147+0.15*$T147))</f>
        <v/>
      </c>
      <c r="V147" s="10" t="str">
        <f aca="false">IF($B147="","",COUNTIFS($C$5:$C$204,$C147,$P$5:$P$204,$P147,$U$5:$U$204,"&gt;"&amp;$U147)+1)</f>
        <v/>
      </c>
      <c r="W147" s="10" t="str">
        <f aca="false">IF($B147="","",COUNTIFS($C$5:$C$204,$C147,$P$5:$P$204,$P147))</f>
        <v/>
      </c>
      <c r="X147" s="15" t="str">
        <f aca="false">IF($B147="","",$V147/$W147)</f>
        <v/>
      </c>
      <c r="Y147" s="10" t="str">
        <f aca="false">IF($B147="","",IF(AND($M147="Có",$J147&lt;=Nguong!$B$16,$K147&lt;=Nguong!$B$17,$L147&lt;=Nguong!$B$18,$R147&lt;=INDEX(Nguong!$B$4:$B$8,$D147)),"Đạt","Không đạt"))</f>
        <v/>
      </c>
      <c r="Z147" s="16" t="str">
        <f aca="false">IF($B147="","",IF($D147&gt;=5,"-",INDEX(IF($C147="Supporter",Nguong!$E$4:$E$8,Nguong!$C$4:$C$8),$D147+1)))</f>
        <v/>
      </c>
      <c r="AA147" s="16" t="str">
        <f aca="false">IF($B147="","",INDEX(IF($C147="Supporter",Nguong!$F$4:$F$8,Nguong!$D$4:$D$8),$D147))</f>
        <v/>
      </c>
      <c r="AB147" s="17" t="str">
        <f aca="false">IF($B147="","",IF($Y147="Không đạt",IF($D147=1,"Không đạt ĐK cần – SM/GĐKV xem xét","Xuống Level "&amp;($D147-1)&amp;" (không đạt ĐK cần)"),IF(AND($D147&lt;5,$Z147&lt;&gt;"-",$X147&lt;=$Z147,$N147="Có",$O147="Có"),"Lên Level "&amp;($D147+1),IF($X147&lt;=$AA147,"Giữ Level "&amp;$D147,"Xuống Level "&amp;($D147-1)&amp;" (ngoài ngưỡng giữ)"))))</f>
        <v/>
      </c>
    </row>
    <row r="148" customFormat="false" ht="15" hidden="false" customHeight="false" outlineLevel="0" collapsed="false">
      <c r="A148" s="7"/>
      <c r="B148" s="7"/>
      <c r="C148" s="8"/>
      <c r="D148" s="8"/>
      <c r="E148" s="8"/>
      <c r="F148" s="9"/>
      <c r="G148" s="9"/>
      <c r="H148" s="9"/>
      <c r="I148" s="9"/>
      <c r="J148" s="9"/>
      <c r="K148" s="9"/>
      <c r="L148" s="9"/>
      <c r="M148" s="8"/>
      <c r="N148" s="8"/>
      <c r="O148" s="8"/>
      <c r="P148" s="10" t="str">
        <f aca="false">IF($B148="","",IF(AND($C148="Supporter",$E148=4),3,$E148))</f>
        <v/>
      </c>
      <c r="Q148" s="11" t="str">
        <f aca="false">IF($B148="","",IF($G148&gt;0,$H148/$G148,0))</f>
        <v/>
      </c>
      <c r="R148" s="12" t="str">
        <f aca="false">IF($B148="","",IF($G148&gt;0,$I148/$G148,0))</f>
        <v/>
      </c>
      <c r="S148" s="13" t="str">
        <f aca="false">IF($B148="","",IF($W148&lt;=1,100,COUNTIFS($C$5:$C$204,$C148,$P$5:$P$204,$P148,$F$5:$F$204,"&lt;"&amp;$F148)/($W148-1)*100))</f>
        <v/>
      </c>
      <c r="T148" s="13" t="str">
        <f aca="false">IF($B148="","",IF($C148="Supporter","-",IF($W148&lt;=1,100,COUNTIFS($C$5:$C$204,$C148,$P$5:$P$204,$P148,$Q$5:$Q$204,"&lt;"&amp;$Q148)/($W148-1)*100)))</f>
        <v/>
      </c>
      <c r="U148" s="14" t="str">
        <f aca="false">IF($B148="","",IF($C148="Supporter",$S148,0.85*$S148+0.15*$T148))</f>
        <v/>
      </c>
      <c r="V148" s="10" t="str">
        <f aca="false">IF($B148="","",COUNTIFS($C$5:$C$204,$C148,$P$5:$P$204,$P148,$U$5:$U$204,"&gt;"&amp;$U148)+1)</f>
        <v/>
      </c>
      <c r="W148" s="10" t="str">
        <f aca="false">IF($B148="","",COUNTIFS($C$5:$C$204,$C148,$P$5:$P$204,$P148))</f>
        <v/>
      </c>
      <c r="X148" s="15" t="str">
        <f aca="false">IF($B148="","",$V148/$W148)</f>
        <v/>
      </c>
      <c r="Y148" s="10" t="str">
        <f aca="false">IF($B148="","",IF(AND($M148="Có",$J148&lt;=Nguong!$B$16,$K148&lt;=Nguong!$B$17,$L148&lt;=Nguong!$B$18,$R148&lt;=INDEX(Nguong!$B$4:$B$8,$D148)),"Đạt","Không đạt"))</f>
        <v/>
      </c>
      <c r="Z148" s="16" t="str">
        <f aca="false">IF($B148="","",IF($D148&gt;=5,"-",INDEX(IF($C148="Supporter",Nguong!$E$4:$E$8,Nguong!$C$4:$C$8),$D148+1)))</f>
        <v/>
      </c>
      <c r="AA148" s="16" t="str">
        <f aca="false">IF($B148="","",INDEX(IF($C148="Supporter",Nguong!$F$4:$F$8,Nguong!$D$4:$D$8),$D148))</f>
        <v/>
      </c>
      <c r="AB148" s="17" t="str">
        <f aca="false">IF($B148="","",IF($Y148="Không đạt",IF($D148=1,"Không đạt ĐK cần – SM/GĐKV xem xét","Xuống Level "&amp;($D148-1)&amp;" (không đạt ĐK cần)"),IF(AND($D148&lt;5,$Z148&lt;&gt;"-",$X148&lt;=$Z148,$N148="Có",$O148="Có"),"Lên Level "&amp;($D148+1),IF($X148&lt;=$AA148,"Giữ Level "&amp;$D148,"Xuống Level "&amp;($D148-1)&amp;" (ngoài ngưỡng giữ)"))))</f>
        <v/>
      </c>
    </row>
    <row r="149" customFormat="false" ht="15" hidden="false" customHeight="false" outlineLevel="0" collapsed="false">
      <c r="A149" s="7"/>
      <c r="B149" s="7"/>
      <c r="C149" s="8"/>
      <c r="D149" s="8"/>
      <c r="E149" s="8"/>
      <c r="F149" s="9"/>
      <c r="G149" s="9"/>
      <c r="H149" s="9"/>
      <c r="I149" s="9"/>
      <c r="J149" s="9"/>
      <c r="K149" s="9"/>
      <c r="L149" s="9"/>
      <c r="M149" s="8"/>
      <c r="N149" s="8"/>
      <c r="O149" s="8"/>
      <c r="P149" s="10" t="str">
        <f aca="false">IF($B149="","",IF(AND($C149="Supporter",$E149=4),3,$E149))</f>
        <v/>
      </c>
      <c r="Q149" s="11" t="str">
        <f aca="false">IF($B149="","",IF($G149&gt;0,$H149/$G149,0))</f>
        <v/>
      </c>
      <c r="R149" s="12" t="str">
        <f aca="false">IF($B149="","",IF($G149&gt;0,$I149/$G149,0))</f>
        <v/>
      </c>
      <c r="S149" s="13" t="str">
        <f aca="false">IF($B149="","",IF($W149&lt;=1,100,COUNTIFS($C$5:$C$204,$C149,$P$5:$P$204,$P149,$F$5:$F$204,"&lt;"&amp;$F149)/($W149-1)*100))</f>
        <v/>
      </c>
      <c r="T149" s="13" t="str">
        <f aca="false">IF($B149="","",IF($C149="Supporter","-",IF($W149&lt;=1,100,COUNTIFS($C$5:$C$204,$C149,$P$5:$P$204,$P149,$Q$5:$Q$204,"&lt;"&amp;$Q149)/($W149-1)*100)))</f>
        <v/>
      </c>
      <c r="U149" s="14" t="str">
        <f aca="false">IF($B149="","",IF($C149="Supporter",$S149,0.85*$S149+0.15*$T149))</f>
        <v/>
      </c>
      <c r="V149" s="10" t="str">
        <f aca="false">IF($B149="","",COUNTIFS($C$5:$C$204,$C149,$P$5:$P$204,$P149,$U$5:$U$204,"&gt;"&amp;$U149)+1)</f>
        <v/>
      </c>
      <c r="W149" s="10" t="str">
        <f aca="false">IF($B149="","",COUNTIFS($C$5:$C$204,$C149,$P$5:$P$204,$P149))</f>
        <v/>
      </c>
      <c r="X149" s="15" t="str">
        <f aca="false">IF($B149="","",$V149/$W149)</f>
        <v/>
      </c>
      <c r="Y149" s="10" t="str">
        <f aca="false">IF($B149="","",IF(AND($M149="Có",$J149&lt;=Nguong!$B$16,$K149&lt;=Nguong!$B$17,$L149&lt;=Nguong!$B$18,$R149&lt;=INDEX(Nguong!$B$4:$B$8,$D149)),"Đạt","Không đạt"))</f>
        <v/>
      </c>
      <c r="Z149" s="16" t="str">
        <f aca="false">IF($B149="","",IF($D149&gt;=5,"-",INDEX(IF($C149="Supporter",Nguong!$E$4:$E$8,Nguong!$C$4:$C$8),$D149+1)))</f>
        <v/>
      </c>
      <c r="AA149" s="16" t="str">
        <f aca="false">IF($B149="","",INDEX(IF($C149="Supporter",Nguong!$F$4:$F$8,Nguong!$D$4:$D$8),$D149))</f>
        <v/>
      </c>
      <c r="AB149" s="17" t="str">
        <f aca="false">IF($B149="","",IF($Y149="Không đạt",IF($D149=1,"Không đạt ĐK cần – SM/GĐKV xem xét","Xuống Level "&amp;($D149-1)&amp;" (không đạt ĐK cần)"),IF(AND($D149&lt;5,$Z149&lt;&gt;"-",$X149&lt;=$Z149,$N149="Có",$O149="Có"),"Lên Level "&amp;($D149+1),IF($X149&lt;=$AA149,"Giữ Level "&amp;$D149,"Xuống Level "&amp;($D149-1)&amp;" (ngoài ngưỡng giữ)"))))</f>
        <v/>
      </c>
    </row>
    <row r="150" customFormat="false" ht="15" hidden="false" customHeight="false" outlineLevel="0" collapsed="false">
      <c r="A150" s="7"/>
      <c r="B150" s="7"/>
      <c r="C150" s="8"/>
      <c r="D150" s="8"/>
      <c r="E150" s="8"/>
      <c r="F150" s="9"/>
      <c r="G150" s="9"/>
      <c r="H150" s="9"/>
      <c r="I150" s="9"/>
      <c r="J150" s="9"/>
      <c r="K150" s="9"/>
      <c r="L150" s="9"/>
      <c r="M150" s="8"/>
      <c r="N150" s="8"/>
      <c r="O150" s="8"/>
      <c r="P150" s="10" t="str">
        <f aca="false">IF($B150="","",IF(AND($C150="Supporter",$E150=4),3,$E150))</f>
        <v/>
      </c>
      <c r="Q150" s="11" t="str">
        <f aca="false">IF($B150="","",IF($G150&gt;0,$H150/$G150,0))</f>
        <v/>
      </c>
      <c r="R150" s="12" t="str">
        <f aca="false">IF($B150="","",IF($G150&gt;0,$I150/$G150,0))</f>
        <v/>
      </c>
      <c r="S150" s="13" t="str">
        <f aca="false">IF($B150="","",IF($W150&lt;=1,100,COUNTIFS($C$5:$C$204,$C150,$P$5:$P$204,$P150,$F$5:$F$204,"&lt;"&amp;$F150)/($W150-1)*100))</f>
        <v/>
      </c>
      <c r="T150" s="13" t="str">
        <f aca="false">IF($B150="","",IF($C150="Supporter","-",IF($W150&lt;=1,100,COUNTIFS($C$5:$C$204,$C150,$P$5:$P$204,$P150,$Q$5:$Q$204,"&lt;"&amp;$Q150)/($W150-1)*100)))</f>
        <v/>
      </c>
      <c r="U150" s="14" t="str">
        <f aca="false">IF($B150="","",IF($C150="Supporter",$S150,0.85*$S150+0.15*$T150))</f>
        <v/>
      </c>
      <c r="V150" s="10" t="str">
        <f aca="false">IF($B150="","",COUNTIFS($C$5:$C$204,$C150,$P$5:$P$204,$P150,$U$5:$U$204,"&gt;"&amp;$U150)+1)</f>
        <v/>
      </c>
      <c r="W150" s="10" t="str">
        <f aca="false">IF($B150="","",COUNTIFS($C$5:$C$204,$C150,$P$5:$P$204,$P150))</f>
        <v/>
      </c>
      <c r="X150" s="15" t="str">
        <f aca="false">IF($B150="","",$V150/$W150)</f>
        <v/>
      </c>
      <c r="Y150" s="10" t="str">
        <f aca="false">IF($B150="","",IF(AND($M150="Có",$J150&lt;=Nguong!$B$16,$K150&lt;=Nguong!$B$17,$L150&lt;=Nguong!$B$18,$R150&lt;=INDEX(Nguong!$B$4:$B$8,$D150)),"Đạt","Không đạt"))</f>
        <v/>
      </c>
      <c r="Z150" s="16" t="str">
        <f aca="false">IF($B150="","",IF($D150&gt;=5,"-",INDEX(IF($C150="Supporter",Nguong!$E$4:$E$8,Nguong!$C$4:$C$8),$D150+1)))</f>
        <v/>
      </c>
      <c r="AA150" s="16" t="str">
        <f aca="false">IF($B150="","",INDEX(IF($C150="Supporter",Nguong!$F$4:$F$8,Nguong!$D$4:$D$8),$D150))</f>
        <v/>
      </c>
      <c r="AB150" s="17" t="str">
        <f aca="false">IF($B150="","",IF($Y150="Không đạt",IF($D150=1,"Không đạt ĐK cần – SM/GĐKV xem xét","Xuống Level "&amp;($D150-1)&amp;" (không đạt ĐK cần)"),IF(AND($D150&lt;5,$Z150&lt;&gt;"-",$X150&lt;=$Z150,$N150="Có",$O150="Có"),"Lên Level "&amp;($D150+1),IF($X150&lt;=$AA150,"Giữ Level "&amp;$D150,"Xuống Level "&amp;($D150-1)&amp;" (ngoài ngưỡng giữ)"))))</f>
        <v/>
      </c>
    </row>
    <row r="151" customFormat="false" ht="15" hidden="false" customHeight="false" outlineLevel="0" collapsed="false">
      <c r="A151" s="7"/>
      <c r="B151" s="7"/>
      <c r="C151" s="8"/>
      <c r="D151" s="8"/>
      <c r="E151" s="8"/>
      <c r="F151" s="9"/>
      <c r="G151" s="9"/>
      <c r="H151" s="9"/>
      <c r="I151" s="9"/>
      <c r="J151" s="9"/>
      <c r="K151" s="9"/>
      <c r="L151" s="9"/>
      <c r="M151" s="8"/>
      <c r="N151" s="8"/>
      <c r="O151" s="8"/>
      <c r="P151" s="10" t="str">
        <f aca="false">IF($B151="","",IF(AND($C151="Supporter",$E151=4),3,$E151))</f>
        <v/>
      </c>
      <c r="Q151" s="11" t="str">
        <f aca="false">IF($B151="","",IF($G151&gt;0,$H151/$G151,0))</f>
        <v/>
      </c>
      <c r="R151" s="12" t="str">
        <f aca="false">IF($B151="","",IF($G151&gt;0,$I151/$G151,0))</f>
        <v/>
      </c>
      <c r="S151" s="13" t="str">
        <f aca="false">IF($B151="","",IF($W151&lt;=1,100,COUNTIFS($C$5:$C$204,$C151,$P$5:$P$204,$P151,$F$5:$F$204,"&lt;"&amp;$F151)/($W151-1)*100))</f>
        <v/>
      </c>
      <c r="T151" s="13" t="str">
        <f aca="false">IF($B151="","",IF($C151="Supporter","-",IF($W151&lt;=1,100,COUNTIFS($C$5:$C$204,$C151,$P$5:$P$204,$P151,$Q$5:$Q$204,"&lt;"&amp;$Q151)/($W151-1)*100)))</f>
        <v/>
      </c>
      <c r="U151" s="14" t="str">
        <f aca="false">IF($B151="","",IF($C151="Supporter",$S151,0.85*$S151+0.15*$T151))</f>
        <v/>
      </c>
      <c r="V151" s="10" t="str">
        <f aca="false">IF($B151="","",COUNTIFS($C$5:$C$204,$C151,$P$5:$P$204,$P151,$U$5:$U$204,"&gt;"&amp;$U151)+1)</f>
        <v/>
      </c>
      <c r="W151" s="10" t="str">
        <f aca="false">IF($B151="","",COUNTIFS($C$5:$C$204,$C151,$P$5:$P$204,$P151))</f>
        <v/>
      </c>
      <c r="X151" s="15" t="str">
        <f aca="false">IF($B151="","",$V151/$W151)</f>
        <v/>
      </c>
      <c r="Y151" s="10" t="str">
        <f aca="false">IF($B151="","",IF(AND($M151="Có",$J151&lt;=Nguong!$B$16,$K151&lt;=Nguong!$B$17,$L151&lt;=Nguong!$B$18,$R151&lt;=INDEX(Nguong!$B$4:$B$8,$D151)),"Đạt","Không đạt"))</f>
        <v/>
      </c>
      <c r="Z151" s="16" t="str">
        <f aca="false">IF($B151="","",IF($D151&gt;=5,"-",INDEX(IF($C151="Supporter",Nguong!$E$4:$E$8,Nguong!$C$4:$C$8),$D151+1)))</f>
        <v/>
      </c>
      <c r="AA151" s="16" t="str">
        <f aca="false">IF($B151="","",INDEX(IF($C151="Supporter",Nguong!$F$4:$F$8,Nguong!$D$4:$D$8),$D151))</f>
        <v/>
      </c>
      <c r="AB151" s="17" t="str">
        <f aca="false">IF($B151="","",IF($Y151="Không đạt",IF($D151=1,"Không đạt ĐK cần – SM/GĐKV xem xét","Xuống Level "&amp;($D151-1)&amp;" (không đạt ĐK cần)"),IF(AND($D151&lt;5,$Z151&lt;&gt;"-",$X151&lt;=$Z151,$N151="Có",$O151="Có"),"Lên Level "&amp;($D151+1),IF($X151&lt;=$AA151,"Giữ Level "&amp;$D151,"Xuống Level "&amp;($D151-1)&amp;" (ngoài ngưỡng giữ)"))))</f>
        <v/>
      </c>
    </row>
    <row r="152" customFormat="false" ht="15" hidden="false" customHeight="false" outlineLevel="0" collapsed="false">
      <c r="A152" s="7"/>
      <c r="B152" s="7"/>
      <c r="C152" s="8"/>
      <c r="D152" s="8"/>
      <c r="E152" s="8"/>
      <c r="F152" s="9"/>
      <c r="G152" s="9"/>
      <c r="H152" s="9"/>
      <c r="I152" s="9"/>
      <c r="J152" s="9"/>
      <c r="K152" s="9"/>
      <c r="L152" s="9"/>
      <c r="M152" s="8"/>
      <c r="N152" s="8"/>
      <c r="O152" s="8"/>
      <c r="P152" s="10" t="str">
        <f aca="false">IF($B152="","",IF(AND($C152="Supporter",$E152=4),3,$E152))</f>
        <v/>
      </c>
      <c r="Q152" s="11" t="str">
        <f aca="false">IF($B152="","",IF($G152&gt;0,$H152/$G152,0))</f>
        <v/>
      </c>
      <c r="R152" s="12" t="str">
        <f aca="false">IF($B152="","",IF($G152&gt;0,$I152/$G152,0))</f>
        <v/>
      </c>
      <c r="S152" s="13" t="str">
        <f aca="false">IF($B152="","",IF($W152&lt;=1,100,COUNTIFS($C$5:$C$204,$C152,$P$5:$P$204,$P152,$F$5:$F$204,"&lt;"&amp;$F152)/($W152-1)*100))</f>
        <v/>
      </c>
      <c r="T152" s="13" t="str">
        <f aca="false">IF($B152="","",IF($C152="Supporter","-",IF($W152&lt;=1,100,COUNTIFS($C$5:$C$204,$C152,$P$5:$P$204,$P152,$Q$5:$Q$204,"&lt;"&amp;$Q152)/($W152-1)*100)))</f>
        <v/>
      </c>
      <c r="U152" s="14" t="str">
        <f aca="false">IF($B152="","",IF($C152="Supporter",$S152,0.85*$S152+0.15*$T152))</f>
        <v/>
      </c>
      <c r="V152" s="10" t="str">
        <f aca="false">IF($B152="","",COUNTIFS($C$5:$C$204,$C152,$P$5:$P$204,$P152,$U$5:$U$204,"&gt;"&amp;$U152)+1)</f>
        <v/>
      </c>
      <c r="W152" s="10" t="str">
        <f aca="false">IF($B152="","",COUNTIFS($C$5:$C$204,$C152,$P$5:$P$204,$P152))</f>
        <v/>
      </c>
      <c r="X152" s="15" t="str">
        <f aca="false">IF($B152="","",$V152/$W152)</f>
        <v/>
      </c>
      <c r="Y152" s="10" t="str">
        <f aca="false">IF($B152="","",IF(AND($M152="Có",$J152&lt;=Nguong!$B$16,$K152&lt;=Nguong!$B$17,$L152&lt;=Nguong!$B$18,$R152&lt;=INDEX(Nguong!$B$4:$B$8,$D152)),"Đạt","Không đạt"))</f>
        <v/>
      </c>
      <c r="Z152" s="16" t="str">
        <f aca="false">IF($B152="","",IF($D152&gt;=5,"-",INDEX(IF($C152="Supporter",Nguong!$E$4:$E$8,Nguong!$C$4:$C$8),$D152+1)))</f>
        <v/>
      </c>
      <c r="AA152" s="16" t="str">
        <f aca="false">IF($B152="","",INDEX(IF($C152="Supporter",Nguong!$F$4:$F$8,Nguong!$D$4:$D$8),$D152))</f>
        <v/>
      </c>
      <c r="AB152" s="17" t="str">
        <f aca="false">IF($B152="","",IF($Y152="Không đạt",IF($D152=1,"Không đạt ĐK cần – SM/GĐKV xem xét","Xuống Level "&amp;($D152-1)&amp;" (không đạt ĐK cần)"),IF(AND($D152&lt;5,$Z152&lt;&gt;"-",$X152&lt;=$Z152,$N152="Có",$O152="Có"),"Lên Level "&amp;($D152+1),IF($X152&lt;=$AA152,"Giữ Level "&amp;$D152,"Xuống Level "&amp;($D152-1)&amp;" (ngoài ngưỡng giữ)"))))</f>
        <v/>
      </c>
    </row>
    <row r="153" customFormat="false" ht="15" hidden="false" customHeight="false" outlineLevel="0" collapsed="false">
      <c r="A153" s="7"/>
      <c r="B153" s="7"/>
      <c r="C153" s="8"/>
      <c r="D153" s="8"/>
      <c r="E153" s="8"/>
      <c r="F153" s="9"/>
      <c r="G153" s="9"/>
      <c r="H153" s="9"/>
      <c r="I153" s="9"/>
      <c r="J153" s="9"/>
      <c r="K153" s="9"/>
      <c r="L153" s="9"/>
      <c r="M153" s="8"/>
      <c r="N153" s="8"/>
      <c r="O153" s="8"/>
      <c r="P153" s="10" t="str">
        <f aca="false">IF($B153="","",IF(AND($C153="Supporter",$E153=4),3,$E153))</f>
        <v/>
      </c>
      <c r="Q153" s="11" t="str">
        <f aca="false">IF($B153="","",IF($G153&gt;0,$H153/$G153,0))</f>
        <v/>
      </c>
      <c r="R153" s="12" t="str">
        <f aca="false">IF($B153="","",IF($G153&gt;0,$I153/$G153,0))</f>
        <v/>
      </c>
      <c r="S153" s="13" t="str">
        <f aca="false">IF($B153="","",IF($W153&lt;=1,100,COUNTIFS($C$5:$C$204,$C153,$P$5:$P$204,$P153,$F$5:$F$204,"&lt;"&amp;$F153)/($W153-1)*100))</f>
        <v/>
      </c>
      <c r="T153" s="13" t="str">
        <f aca="false">IF($B153="","",IF($C153="Supporter","-",IF($W153&lt;=1,100,COUNTIFS($C$5:$C$204,$C153,$P$5:$P$204,$P153,$Q$5:$Q$204,"&lt;"&amp;$Q153)/($W153-1)*100)))</f>
        <v/>
      </c>
      <c r="U153" s="14" t="str">
        <f aca="false">IF($B153="","",IF($C153="Supporter",$S153,0.85*$S153+0.15*$T153))</f>
        <v/>
      </c>
      <c r="V153" s="10" t="str">
        <f aca="false">IF($B153="","",COUNTIFS($C$5:$C$204,$C153,$P$5:$P$204,$P153,$U$5:$U$204,"&gt;"&amp;$U153)+1)</f>
        <v/>
      </c>
      <c r="W153" s="10" t="str">
        <f aca="false">IF($B153="","",COUNTIFS($C$5:$C$204,$C153,$P$5:$P$204,$P153))</f>
        <v/>
      </c>
      <c r="X153" s="15" t="str">
        <f aca="false">IF($B153="","",$V153/$W153)</f>
        <v/>
      </c>
      <c r="Y153" s="10" t="str">
        <f aca="false">IF($B153="","",IF(AND($M153="Có",$J153&lt;=Nguong!$B$16,$K153&lt;=Nguong!$B$17,$L153&lt;=Nguong!$B$18,$R153&lt;=INDEX(Nguong!$B$4:$B$8,$D153)),"Đạt","Không đạt"))</f>
        <v/>
      </c>
      <c r="Z153" s="16" t="str">
        <f aca="false">IF($B153="","",IF($D153&gt;=5,"-",INDEX(IF($C153="Supporter",Nguong!$E$4:$E$8,Nguong!$C$4:$C$8),$D153+1)))</f>
        <v/>
      </c>
      <c r="AA153" s="16" t="str">
        <f aca="false">IF($B153="","",INDEX(IF($C153="Supporter",Nguong!$F$4:$F$8,Nguong!$D$4:$D$8),$D153))</f>
        <v/>
      </c>
      <c r="AB153" s="17" t="str">
        <f aca="false">IF($B153="","",IF($Y153="Không đạt",IF($D153=1,"Không đạt ĐK cần – SM/GĐKV xem xét","Xuống Level "&amp;($D153-1)&amp;" (không đạt ĐK cần)"),IF(AND($D153&lt;5,$Z153&lt;&gt;"-",$X153&lt;=$Z153,$N153="Có",$O153="Có"),"Lên Level "&amp;($D153+1),IF($X153&lt;=$AA153,"Giữ Level "&amp;$D153,"Xuống Level "&amp;($D153-1)&amp;" (ngoài ngưỡng giữ)"))))</f>
        <v/>
      </c>
    </row>
    <row r="154" customFormat="false" ht="15" hidden="false" customHeight="false" outlineLevel="0" collapsed="false">
      <c r="A154" s="7"/>
      <c r="B154" s="7"/>
      <c r="C154" s="8"/>
      <c r="D154" s="8"/>
      <c r="E154" s="8"/>
      <c r="F154" s="9"/>
      <c r="G154" s="9"/>
      <c r="H154" s="9"/>
      <c r="I154" s="9"/>
      <c r="J154" s="9"/>
      <c r="K154" s="9"/>
      <c r="L154" s="9"/>
      <c r="M154" s="8"/>
      <c r="N154" s="8"/>
      <c r="O154" s="8"/>
      <c r="P154" s="10" t="str">
        <f aca="false">IF($B154="","",IF(AND($C154="Supporter",$E154=4),3,$E154))</f>
        <v/>
      </c>
      <c r="Q154" s="11" t="str">
        <f aca="false">IF($B154="","",IF($G154&gt;0,$H154/$G154,0))</f>
        <v/>
      </c>
      <c r="R154" s="12" t="str">
        <f aca="false">IF($B154="","",IF($G154&gt;0,$I154/$G154,0))</f>
        <v/>
      </c>
      <c r="S154" s="13" t="str">
        <f aca="false">IF($B154="","",IF($W154&lt;=1,100,COUNTIFS($C$5:$C$204,$C154,$P$5:$P$204,$P154,$F$5:$F$204,"&lt;"&amp;$F154)/($W154-1)*100))</f>
        <v/>
      </c>
      <c r="T154" s="13" t="str">
        <f aca="false">IF($B154="","",IF($C154="Supporter","-",IF($W154&lt;=1,100,COUNTIFS($C$5:$C$204,$C154,$P$5:$P$204,$P154,$Q$5:$Q$204,"&lt;"&amp;$Q154)/($W154-1)*100)))</f>
        <v/>
      </c>
      <c r="U154" s="14" t="str">
        <f aca="false">IF($B154="","",IF($C154="Supporter",$S154,0.85*$S154+0.15*$T154))</f>
        <v/>
      </c>
      <c r="V154" s="10" t="str">
        <f aca="false">IF($B154="","",COUNTIFS($C$5:$C$204,$C154,$P$5:$P$204,$P154,$U$5:$U$204,"&gt;"&amp;$U154)+1)</f>
        <v/>
      </c>
      <c r="W154" s="10" t="str">
        <f aca="false">IF($B154="","",COUNTIFS($C$5:$C$204,$C154,$P$5:$P$204,$P154))</f>
        <v/>
      </c>
      <c r="X154" s="15" t="str">
        <f aca="false">IF($B154="","",$V154/$W154)</f>
        <v/>
      </c>
      <c r="Y154" s="10" t="str">
        <f aca="false">IF($B154="","",IF(AND($M154="Có",$J154&lt;=Nguong!$B$16,$K154&lt;=Nguong!$B$17,$L154&lt;=Nguong!$B$18,$R154&lt;=INDEX(Nguong!$B$4:$B$8,$D154)),"Đạt","Không đạt"))</f>
        <v/>
      </c>
      <c r="Z154" s="16" t="str">
        <f aca="false">IF($B154="","",IF($D154&gt;=5,"-",INDEX(IF($C154="Supporter",Nguong!$E$4:$E$8,Nguong!$C$4:$C$8),$D154+1)))</f>
        <v/>
      </c>
      <c r="AA154" s="16" t="str">
        <f aca="false">IF($B154="","",INDEX(IF($C154="Supporter",Nguong!$F$4:$F$8,Nguong!$D$4:$D$8),$D154))</f>
        <v/>
      </c>
      <c r="AB154" s="17" t="str">
        <f aca="false">IF($B154="","",IF($Y154="Không đạt",IF($D154=1,"Không đạt ĐK cần – SM/GĐKV xem xét","Xuống Level "&amp;($D154-1)&amp;" (không đạt ĐK cần)"),IF(AND($D154&lt;5,$Z154&lt;&gt;"-",$X154&lt;=$Z154,$N154="Có",$O154="Có"),"Lên Level "&amp;($D154+1),IF($X154&lt;=$AA154,"Giữ Level "&amp;$D154,"Xuống Level "&amp;($D154-1)&amp;" (ngoài ngưỡng giữ)"))))</f>
        <v/>
      </c>
    </row>
    <row r="155" customFormat="false" ht="15" hidden="false" customHeight="false" outlineLevel="0" collapsed="false">
      <c r="A155" s="7"/>
      <c r="B155" s="7"/>
      <c r="C155" s="8"/>
      <c r="D155" s="8"/>
      <c r="E155" s="8"/>
      <c r="F155" s="9"/>
      <c r="G155" s="9"/>
      <c r="H155" s="9"/>
      <c r="I155" s="9"/>
      <c r="J155" s="9"/>
      <c r="K155" s="9"/>
      <c r="L155" s="9"/>
      <c r="M155" s="8"/>
      <c r="N155" s="8"/>
      <c r="O155" s="8"/>
      <c r="P155" s="10" t="str">
        <f aca="false">IF($B155="","",IF(AND($C155="Supporter",$E155=4),3,$E155))</f>
        <v/>
      </c>
      <c r="Q155" s="11" t="str">
        <f aca="false">IF($B155="","",IF($G155&gt;0,$H155/$G155,0))</f>
        <v/>
      </c>
      <c r="R155" s="12" t="str">
        <f aca="false">IF($B155="","",IF($G155&gt;0,$I155/$G155,0))</f>
        <v/>
      </c>
      <c r="S155" s="13" t="str">
        <f aca="false">IF($B155="","",IF($W155&lt;=1,100,COUNTIFS($C$5:$C$204,$C155,$P$5:$P$204,$P155,$F$5:$F$204,"&lt;"&amp;$F155)/($W155-1)*100))</f>
        <v/>
      </c>
      <c r="T155" s="13" t="str">
        <f aca="false">IF($B155="","",IF($C155="Supporter","-",IF($W155&lt;=1,100,COUNTIFS($C$5:$C$204,$C155,$P$5:$P$204,$P155,$Q$5:$Q$204,"&lt;"&amp;$Q155)/($W155-1)*100)))</f>
        <v/>
      </c>
      <c r="U155" s="14" t="str">
        <f aca="false">IF($B155="","",IF($C155="Supporter",$S155,0.85*$S155+0.15*$T155))</f>
        <v/>
      </c>
      <c r="V155" s="10" t="str">
        <f aca="false">IF($B155="","",COUNTIFS($C$5:$C$204,$C155,$P$5:$P$204,$P155,$U$5:$U$204,"&gt;"&amp;$U155)+1)</f>
        <v/>
      </c>
      <c r="W155" s="10" t="str">
        <f aca="false">IF($B155="","",COUNTIFS($C$5:$C$204,$C155,$P$5:$P$204,$P155))</f>
        <v/>
      </c>
      <c r="X155" s="15" t="str">
        <f aca="false">IF($B155="","",$V155/$W155)</f>
        <v/>
      </c>
      <c r="Y155" s="10" t="str">
        <f aca="false">IF($B155="","",IF(AND($M155="Có",$J155&lt;=Nguong!$B$16,$K155&lt;=Nguong!$B$17,$L155&lt;=Nguong!$B$18,$R155&lt;=INDEX(Nguong!$B$4:$B$8,$D155)),"Đạt","Không đạt"))</f>
        <v/>
      </c>
      <c r="Z155" s="16" t="str">
        <f aca="false">IF($B155="","",IF($D155&gt;=5,"-",INDEX(IF($C155="Supporter",Nguong!$E$4:$E$8,Nguong!$C$4:$C$8),$D155+1)))</f>
        <v/>
      </c>
      <c r="AA155" s="16" t="str">
        <f aca="false">IF($B155="","",INDEX(IF($C155="Supporter",Nguong!$F$4:$F$8,Nguong!$D$4:$D$8),$D155))</f>
        <v/>
      </c>
      <c r="AB155" s="17" t="str">
        <f aca="false">IF($B155="","",IF($Y155="Không đạt",IF($D155=1,"Không đạt ĐK cần – SM/GĐKV xem xét","Xuống Level "&amp;($D155-1)&amp;" (không đạt ĐK cần)"),IF(AND($D155&lt;5,$Z155&lt;&gt;"-",$X155&lt;=$Z155,$N155="Có",$O155="Có"),"Lên Level "&amp;($D155+1),IF($X155&lt;=$AA155,"Giữ Level "&amp;$D155,"Xuống Level "&amp;($D155-1)&amp;" (ngoài ngưỡng giữ)"))))</f>
        <v/>
      </c>
    </row>
    <row r="156" customFormat="false" ht="15" hidden="false" customHeight="false" outlineLevel="0" collapsed="false">
      <c r="A156" s="7"/>
      <c r="B156" s="7"/>
      <c r="C156" s="8"/>
      <c r="D156" s="8"/>
      <c r="E156" s="8"/>
      <c r="F156" s="9"/>
      <c r="G156" s="9"/>
      <c r="H156" s="9"/>
      <c r="I156" s="9"/>
      <c r="J156" s="9"/>
      <c r="K156" s="9"/>
      <c r="L156" s="9"/>
      <c r="M156" s="8"/>
      <c r="N156" s="8"/>
      <c r="O156" s="8"/>
      <c r="P156" s="10" t="str">
        <f aca="false">IF($B156="","",IF(AND($C156="Supporter",$E156=4),3,$E156))</f>
        <v/>
      </c>
      <c r="Q156" s="11" t="str">
        <f aca="false">IF($B156="","",IF($G156&gt;0,$H156/$G156,0))</f>
        <v/>
      </c>
      <c r="R156" s="12" t="str">
        <f aca="false">IF($B156="","",IF($G156&gt;0,$I156/$G156,0))</f>
        <v/>
      </c>
      <c r="S156" s="13" t="str">
        <f aca="false">IF($B156="","",IF($W156&lt;=1,100,COUNTIFS($C$5:$C$204,$C156,$P$5:$P$204,$P156,$F$5:$F$204,"&lt;"&amp;$F156)/($W156-1)*100))</f>
        <v/>
      </c>
      <c r="T156" s="13" t="str">
        <f aca="false">IF($B156="","",IF($C156="Supporter","-",IF($W156&lt;=1,100,COUNTIFS($C$5:$C$204,$C156,$P$5:$P$204,$P156,$Q$5:$Q$204,"&lt;"&amp;$Q156)/($W156-1)*100)))</f>
        <v/>
      </c>
      <c r="U156" s="14" t="str">
        <f aca="false">IF($B156="","",IF($C156="Supporter",$S156,0.85*$S156+0.15*$T156))</f>
        <v/>
      </c>
      <c r="V156" s="10" t="str">
        <f aca="false">IF($B156="","",COUNTIFS($C$5:$C$204,$C156,$P$5:$P$204,$P156,$U$5:$U$204,"&gt;"&amp;$U156)+1)</f>
        <v/>
      </c>
      <c r="W156" s="10" t="str">
        <f aca="false">IF($B156="","",COUNTIFS($C$5:$C$204,$C156,$P$5:$P$204,$P156))</f>
        <v/>
      </c>
      <c r="X156" s="15" t="str">
        <f aca="false">IF($B156="","",$V156/$W156)</f>
        <v/>
      </c>
      <c r="Y156" s="10" t="str">
        <f aca="false">IF($B156="","",IF(AND($M156="Có",$J156&lt;=Nguong!$B$16,$K156&lt;=Nguong!$B$17,$L156&lt;=Nguong!$B$18,$R156&lt;=INDEX(Nguong!$B$4:$B$8,$D156)),"Đạt","Không đạt"))</f>
        <v/>
      </c>
      <c r="Z156" s="16" t="str">
        <f aca="false">IF($B156="","",IF($D156&gt;=5,"-",INDEX(IF($C156="Supporter",Nguong!$E$4:$E$8,Nguong!$C$4:$C$8),$D156+1)))</f>
        <v/>
      </c>
      <c r="AA156" s="16" t="str">
        <f aca="false">IF($B156="","",INDEX(IF($C156="Supporter",Nguong!$F$4:$F$8,Nguong!$D$4:$D$8),$D156))</f>
        <v/>
      </c>
      <c r="AB156" s="17" t="str">
        <f aca="false">IF($B156="","",IF($Y156="Không đạt",IF($D156=1,"Không đạt ĐK cần – SM/GĐKV xem xét","Xuống Level "&amp;($D156-1)&amp;" (không đạt ĐK cần)"),IF(AND($D156&lt;5,$Z156&lt;&gt;"-",$X156&lt;=$Z156,$N156="Có",$O156="Có"),"Lên Level "&amp;($D156+1),IF($X156&lt;=$AA156,"Giữ Level "&amp;$D156,"Xuống Level "&amp;($D156-1)&amp;" (ngoài ngưỡng giữ)"))))</f>
        <v/>
      </c>
    </row>
    <row r="157" customFormat="false" ht="15" hidden="false" customHeight="false" outlineLevel="0" collapsed="false">
      <c r="A157" s="7"/>
      <c r="B157" s="7"/>
      <c r="C157" s="8"/>
      <c r="D157" s="8"/>
      <c r="E157" s="8"/>
      <c r="F157" s="9"/>
      <c r="G157" s="9"/>
      <c r="H157" s="9"/>
      <c r="I157" s="9"/>
      <c r="J157" s="9"/>
      <c r="K157" s="9"/>
      <c r="L157" s="9"/>
      <c r="M157" s="8"/>
      <c r="N157" s="8"/>
      <c r="O157" s="8"/>
      <c r="P157" s="10" t="str">
        <f aca="false">IF($B157="","",IF(AND($C157="Supporter",$E157=4),3,$E157))</f>
        <v/>
      </c>
      <c r="Q157" s="11" t="str">
        <f aca="false">IF($B157="","",IF($G157&gt;0,$H157/$G157,0))</f>
        <v/>
      </c>
      <c r="R157" s="12" t="str">
        <f aca="false">IF($B157="","",IF($G157&gt;0,$I157/$G157,0))</f>
        <v/>
      </c>
      <c r="S157" s="13" t="str">
        <f aca="false">IF($B157="","",IF($W157&lt;=1,100,COUNTIFS($C$5:$C$204,$C157,$P$5:$P$204,$P157,$F$5:$F$204,"&lt;"&amp;$F157)/($W157-1)*100))</f>
        <v/>
      </c>
      <c r="T157" s="13" t="str">
        <f aca="false">IF($B157="","",IF($C157="Supporter","-",IF($W157&lt;=1,100,COUNTIFS($C$5:$C$204,$C157,$P$5:$P$204,$P157,$Q$5:$Q$204,"&lt;"&amp;$Q157)/($W157-1)*100)))</f>
        <v/>
      </c>
      <c r="U157" s="14" t="str">
        <f aca="false">IF($B157="","",IF($C157="Supporter",$S157,0.85*$S157+0.15*$T157))</f>
        <v/>
      </c>
      <c r="V157" s="10" t="str">
        <f aca="false">IF($B157="","",COUNTIFS($C$5:$C$204,$C157,$P$5:$P$204,$P157,$U$5:$U$204,"&gt;"&amp;$U157)+1)</f>
        <v/>
      </c>
      <c r="W157" s="10" t="str">
        <f aca="false">IF($B157="","",COUNTIFS($C$5:$C$204,$C157,$P$5:$P$204,$P157))</f>
        <v/>
      </c>
      <c r="X157" s="15" t="str">
        <f aca="false">IF($B157="","",$V157/$W157)</f>
        <v/>
      </c>
      <c r="Y157" s="10" t="str">
        <f aca="false">IF($B157="","",IF(AND($M157="Có",$J157&lt;=Nguong!$B$16,$K157&lt;=Nguong!$B$17,$L157&lt;=Nguong!$B$18,$R157&lt;=INDEX(Nguong!$B$4:$B$8,$D157)),"Đạt","Không đạt"))</f>
        <v/>
      </c>
      <c r="Z157" s="16" t="str">
        <f aca="false">IF($B157="","",IF($D157&gt;=5,"-",INDEX(IF($C157="Supporter",Nguong!$E$4:$E$8,Nguong!$C$4:$C$8),$D157+1)))</f>
        <v/>
      </c>
      <c r="AA157" s="16" t="str">
        <f aca="false">IF($B157="","",INDEX(IF($C157="Supporter",Nguong!$F$4:$F$8,Nguong!$D$4:$D$8),$D157))</f>
        <v/>
      </c>
      <c r="AB157" s="17" t="str">
        <f aca="false">IF($B157="","",IF($Y157="Không đạt",IF($D157=1,"Không đạt ĐK cần – SM/GĐKV xem xét","Xuống Level "&amp;($D157-1)&amp;" (không đạt ĐK cần)"),IF(AND($D157&lt;5,$Z157&lt;&gt;"-",$X157&lt;=$Z157,$N157="Có",$O157="Có"),"Lên Level "&amp;($D157+1),IF($X157&lt;=$AA157,"Giữ Level "&amp;$D157,"Xuống Level "&amp;($D157-1)&amp;" (ngoài ngưỡng giữ)"))))</f>
        <v/>
      </c>
    </row>
    <row r="158" customFormat="false" ht="15" hidden="false" customHeight="false" outlineLevel="0" collapsed="false">
      <c r="A158" s="7"/>
      <c r="B158" s="7"/>
      <c r="C158" s="8"/>
      <c r="D158" s="8"/>
      <c r="E158" s="8"/>
      <c r="F158" s="9"/>
      <c r="G158" s="9"/>
      <c r="H158" s="9"/>
      <c r="I158" s="9"/>
      <c r="J158" s="9"/>
      <c r="K158" s="9"/>
      <c r="L158" s="9"/>
      <c r="M158" s="8"/>
      <c r="N158" s="8"/>
      <c r="O158" s="8"/>
      <c r="P158" s="10" t="str">
        <f aca="false">IF($B158="","",IF(AND($C158="Supporter",$E158=4),3,$E158))</f>
        <v/>
      </c>
      <c r="Q158" s="11" t="str">
        <f aca="false">IF($B158="","",IF($G158&gt;0,$H158/$G158,0))</f>
        <v/>
      </c>
      <c r="R158" s="12" t="str">
        <f aca="false">IF($B158="","",IF($G158&gt;0,$I158/$G158,0))</f>
        <v/>
      </c>
      <c r="S158" s="13" t="str">
        <f aca="false">IF($B158="","",IF($W158&lt;=1,100,COUNTIFS($C$5:$C$204,$C158,$P$5:$P$204,$P158,$F$5:$F$204,"&lt;"&amp;$F158)/($W158-1)*100))</f>
        <v/>
      </c>
      <c r="T158" s="13" t="str">
        <f aca="false">IF($B158="","",IF($C158="Supporter","-",IF($W158&lt;=1,100,COUNTIFS($C$5:$C$204,$C158,$P$5:$P$204,$P158,$Q$5:$Q$204,"&lt;"&amp;$Q158)/($W158-1)*100)))</f>
        <v/>
      </c>
      <c r="U158" s="14" t="str">
        <f aca="false">IF($B158="","",IF($C158="Supporter",$S158,0.85*$S158+0.15*$T158))</f>
        <v/>
      </c>
      <c r="V158" s="10" t="str">
        <f aca="false">IF($B158="","",COUNTIFS($C$5:$C$204,$C158,$P$5:$P$204,$P158,$U$5:$U$204,"&gt;"&amp;$U158)+1)</f>
        <v/>
      </c>
      <c r="W158" s="10" t="str">
        <f aca="false">IF($B158="","",COUNTIFS($C$5:$C$204,$C158,$P$5:$P$204,$P158))</f>
        <v/>
      </c>
      <c r="X158" s="15" t="str">
        <f aca="false">IF($B158="","",$V158/$W158)</f>
        <v/>
      </c>
      <c r="Y158" s="10" t="str">
        <f aca="false">IF($B158="","",IF(AND($M158="Có",$J158&lt;=Nguong!$B$16,$K158&lt;=Nguong!$B$17,$L158&lt;=Nguong!$B$18,$R158&lt;=INDEX(Nguong!$B$4:$B$8,$D158)),"Đạt","Không đạt"))</f>
        <v/>
      </c>
      <c r="Z158" s="16" t="str">
        <f aca="false">IF($B158="","",IF($D158&gt;=5,"-",INDEX(IF($C158="Supporter",Nguong!$E$4:$E$8,Nguong!$C$4:$C$8),$D158+1)))</f>
        <v/>
      </c>
      <c r="AA158" s="16" t="str">
        <f aca="false">IF($B158="","",INDEX(IF($C158="Supporter",Nguong!$F$4:$F$8,Nguong!$D$4:$D$8),$D158))</f>
        <v/>
      </c>
      <c r="AB158" s="17" t="str">
        <f aca="false">IF($B158="","",IF($Y158="Không đạt",IF($D158=1,"Không đạt ĐK cần – SM/GĐKV xem xét","Xuống Level "&amp;($D158-1)&amp;" (không đạt ĐK cần)"),IF(AND($D158&lt;5,$Z158&lt;&gt;"-",$X158&lt;=$Z158,$N158="Có",$O158="Có"),"Lên Level "&amp;($D158+1),IF($X158&lt;=$AA158,"Giữ Level "&amp;$D158,"Xuống Level "&amp;($D158-1)&amp;" (ngoài ngưỡng giữ)"))))</f>
        <v/>
      </c>
    </row>
    <row r="159" customFormat="false" ht="15" hidden="false" customHeight="false" outlineLevel="0" collapsed="false">
      <c r="A159" s="7"/>
      <c r="B159" s="7"/>
      <c r="C159" s="8"/>
      <c r="D159" s="8"/>
      <c r="E159" s="8"/>
      <c r="F159" s="9"/>
      <c r="G159" s="9"/>
      <c r="H159" s="9"/>
      <c r="I159" s="9"/>
      <c r="J159" s="9"/>
      <c r="K159" s="9"/>
      <c r="L159" s="9"/>
      <c r="M159" s="8"/>
      <c r="N159" s="8"/>
      <c r="O159" s="8"/>
      <c r="P159" s="10" t="str">
        <f aca="false">IF($B159="","",IF(AND($C159="Supporter",$E159=4),3,$E159))</f>
        <v/>
      </c>
      <c r="Q159" s="11" t="str">
        <f aca="false">IF($B159="","",IF($G159&gt;0,$H159/$G159,0))</f>
        <v/>
      </c>
      <c r="R159" s="12" t="str">
        <f aca="false">IF($B159="","",IF($G159&gt;0,$I159/$G159,0))</f>
        <v/>
      </c>
      <c r="S159" s="13" t="str">
        <f aca="false">IF($B159="","",IF($W159&lt;=1,100,COUNTIFS($C$5:$C$204,$C159,$P$5:$P$204,$P159,$F$5:$F$204,"&lt;"&amp;$F159)/($W159-1)*100))</f>
        <v/>
      </c>
      <c r="T159" s="13" t="str">
        <f aca="false">IF($B159="","",IF($C159="Supporter","-",IF($W159&lt;=1,100,COUNTIFS($C$5:$C$204,$C159,$P$5:$P$204,$P159,$Q$5:$Q$204,"&lt;"&amp;$Q159)/($W159-1)*100)))</f>
        <v/>
      </c>
      <c r="U159" s="14" t="str">
        <f aca="false">IF($B159="","",IF($C159="Supporter",$S159,0.85*$S159+0.15*$T159))</f>
        <v/>
      </c>
      <c r="V159" s="10" t="str">
        <f aca="false">IF($B159="","",COUNTIFS($C$5:$C$204,$C159,$P$5:$P$204,$P159,$U$5:$U$204,"&gt;"&amp;$U159)+1)</f>
        <v/>
      </c>
      <c r="W159" s="10" t="str">
        <f aca="false">IF($B159="","",COUNTIFS($C$5:$C$204,$C159,$P$5:$P$204,$P159))</f>
        <v/>
      </c>
      <c r="X159" s="15" t="str">
        <f aca="false">IF($B159="","",$V159/$W159)</f>
        <v/>
      </c>
      <c r="Y159" s="10" t="str">
        <f aca="false">IF($B159="","",IF(AND($M159="Có",$J159&lt;=Nguong!$B$16,$K159&lt;=Nguong!$B$17,$L159&lt;=Nguong!$B$18,$R159&lt;=INDEX(Nguong!$B$4:$B$8,$D159)),"Đạt","Không đạt"))</f>
        <v/>
      </c>
      <c r="Z159" s="16" t="str">
        <f aca="false">IF($B159="","",IF($D159&gt;=5,"-",INDEX(IF($C159="Supporter",Nguong!$E$4:$E$8,Nguong!$C$4:$C$8),$D159+1)))</f>
        <v/>
      </c>
      <c r="AA159" s="16" t="str">
        <f aca="false">IF($B159="","",INDEX(IF($C159="Supporter",Nguong!$F$4:$F$8,Nguong!$D$4:$D$8),$D159))</f>
        <v/>
      </c>
      <c r="AB159" s="17" t="str">
        <f aca="false">IF($B159="","",IF($Y159="Không đạt",IF($D159=1,"Không đạt ĐK cần – SM/GĐKV xem xét","Xuống Level "&amp;($D159-1)&amp;" (không đạt ĐK cần)"),IF(AND($D159&lt;5,$Z159&lt;&gt;"-",$X159&lt;=$Z159,$N159="Có",$O159="Có"),"Lên Level "&amp;($D159+1),IF($X159&lt;=$AA159,"Giữ Level "&amp;$D159,"Xuống Level "&amp;($D159-1)&amp;" (ngoài ngưỡng giữ)"))))</f>
        <v/>
      </c>
    </row>
    <row r="160" customFormat="false" ht="15" hidden="false" customHeight="false" outlineLevel="0" collapsed="false">
      <c r="A160" s="7"/>
      <c r="B160" s="7"/>
      <c r="C160" s="8"/>
      <c r="D160" s="8"/>
      <c r="E160" s="8"/>
      <c r="F160" s="9"/>
      <c r="G160" s="9"/>
      <c r="H160" s="9"/>
      <c r="I160" s="9"/>
      <c r="J160" s="9"/>
      <c r="K160" s="9"/>
      <c r="L160" s="9"/>
      <c r="M160" s="8"/>
      <c r="N160" s="8"/>
      <c r="O160" s="8"/>
      <c r="P160" s="10" t="str">
        <f aca="false">IF($B160="","",IF(AND($C160="Supporter",$E160=4),3,$E160))</f>
        <v/>
      </c>
      <c r="Q160" s="11" t="str">
        <f aca="false">IF($B160="","",IF($G160&gt;0,$H160/$G160,0))</f>
        <v/>
      </c>
      <c r="R160" s="12" t="str">
        <f aca="false">IF($B160="","",IF($G160&gt;0,$I160/$G160,0))</f>
        <v/>
      </c>
      <c r="S160" s="13" t="str">
        <f aca="false">IF($B160="","",IF($W160&lt;=1,100,COUNTIFS($C$5:$C$204,$C160,$P$5:$P$204,$P160,$F$5:$F$204,"&lt;"&amp;$F160)/($W160-1)*100))</f>
        <v/>
      </c>
      <c r="T160" s="13" t="str">
        <f aca="false">IF($B160="","",IF($C160="Supporter","-",IF($W160&lt;=1,100,COUNTIFS($C$5:$C$204,$C160,$P$5:$P$204,$P160,$Q$5:$Q$204,"&lt;"&amp;$Q160)/($W160-1)*100)))</f>
        <v/>
      </c>
      <c r="U160" s="14" t="str">
        <f aca="false">IF($B160="","",IF($C160="Supporter",$S160,0.85*$S160+0.15*$T160))</f>
        <v/>
      </c>
      <c r="V160" s="10" t="str">
        <f aca="false">IF($B160="","",COUNTIFS($C$5:$C$204,$C160,$P$5:$P$204,$P160,$U$5:$U$204,"&gt;"&amp;$U160)+1)</f>
        <v/>
      </c>
      <c r="W160" s="10" t="str">
        <f aca="false">IF($B160="","",COUNTIFS($C$5:$C$204,$C160,$P$5:$P$204,$P160))</f>
        <v/>
      </c>
      <c r="X160" s="15" t="str">
        <f aca="false">IF($B160="","",$V160/$W160)</f>
        <v/>
      </c>
      <c r="Y160" s="10" t="str">
        <f aca="false">IF($B160="","",IF(AND($M160="Có",$J160&lt;=Nguong!$B$16,$K160&lt;=Nguong!$B$17,$L160&lt;=Nguong!$B$18,$R160&lt;=INDEX(Nguong!$B$4:$B$8,$D160)),"Đạt","Không đạt"))</f>
        <v/>
      </c>
      <c r="Z160" s="16" t="str">
        <f aca="false">IF($B160="","",IF($D160&gt;=5,"-",INDEX(IF($C160="Supporter",Nguong!$E$4:$E$8,Nguong!$C$4:$C$8),$D160+1)))</f>
        <v/>
      </c>
      <c r="AA160" s="16" t="str">
        <f aca="false">IF($B160="","",INDEX(IF($C160="Supporter",Nguong!$F$4:$F$8,Nguong!$D$4:$D$8),$D160))</f>
        <v/>
      </c>
      <c r="AB160" s="17" t="str">
        <f aca="false">IF($B160="","",IF($Y160="Không đạt",IF($D160=1,"Không đạt ĐK cần – SM/GĐKV xem xét","Xuống Level "&amp;($D160-1)&amp;" (không đạt ĐK cần)"),IF(AND($D160&lt;5,$Z160&lt;&gt;"-",$X160&lt;=$Z160,$N160="Có",$O160="Có"),"Lên Level "&amp;($D160+1),IF($X160&lt;=$AA160,"Giữ Level "&amp;$D160,"Xuống Level "&amp;($D160-1)&amp;" (ngoài ngưỡng giữ)"))))</f>
        <v/>
      </c>
    </row>
    <row r="161" customFormat="false" ht="15" hidden="false" customHeight="false" outlineLevel="0" collapsed="false">
      <c r="A161" s="7"/>
      <c r="B161" s="7"/>
      <c r="C161" s="8"/>
      <c r="D161" s="8"/>
      <c r="E161" s="8"/>
      <c r="F161" s="9"/>
      <c r="G161" s="9"/>
      <c r="H161" s="9"/>
      <c r="I161" s="9"/>
      <c r="J161" s="9"/>
      <c r="K161" s="9"/>
      <c r="L161" s="9"/>
      <c r="M161" s="8"/>
      <c r="N161" s="8"/>
      <c r="O161" s="8"/>
      <c r="P161" s="10" t="str">
        <f aca="false">IF($B161="","",IF(AND($C161="Supporter",$E161=4),3,$E161))</f>
        <v/>
      </c>
      <c r="Q161" s="11" t="str">
        <f aca="false">IF($B161="","",IF($G161&gt;0,$H161/$G161,0))</f>
        <v/>
      </c>
      <c r="R161" s="12" t="str">
        <f aca="false">IF($B161="","",IF($G161&gt;0,$I161/$G161,0))</f>
        <v/>
      </c>
      <c r="S161" s="13" t="str">
        <f aca="false">IF($B161="","",IF($W161&lt;=1,100,COUNTIFS($C$5:$C$204,$C161,$P$5:$P$204,$P161,$F$5:$F$204,"&lt;"&amp;$F161)/($W161-1)*100))</f>
        <v/>
      </c>
      <c r="T161" s="13" t="str">
        <f aca="false">IF($B161="","",IF($C161="Supporter","-",IF($W161&lt;=1,100,COUNTIFS($C$5:$C$204,$C161,$P$5:$P$204,$P161,$Q$5:$Q$204,"&lt;"&amp;$Q161)/($W161-1)*100)))</f>
        <v/>
      </c>
      <c r="U161" s="14" t="str">
        <f aca="false">IF($B161="","",IF($C161="Supporter",$S161,0.85*$S161+0.15*$T161))</f>
        <v/>
      </c>
      <c r="V161" s="10" t="str">
        <f aca="false">IF($B161="","",COUNTIFS($C$5:$C$204,$C161,$P$5:$P$204,$P161,$U$5:$U$204,"&gt;"&amp;$U161)+1)</f>
        <v/>
      </c>
      <c r="W161" s="10" t="str">
        <f aca="false">IF($B161="","",COUNTIFS($C$5:$C$204,$C161,$P$5:$P$204,$P161))</f>
        <v/>
      </c>
      <c r="X161" s="15" t="str">
        <f aca="false">IF($B161="","",$V161/$W161)</f>
        <v/>
      </c>
      <c r="Y161" s="10" t="str">
        <f aca="false">IF($B161="","",IF(AND($M161="Có",$J161&lt;=Nguong!$B$16,$K161&lt;=Nguong!$B$17,$L161&lt;=Nguong!$B$18,$R161&lt;=INDEX(Nguong!$B$4:$B$8,$D161)),"Đạt","Không đạt"))</f>
        <v/>
      </c>
      <c r="Z161" s="16" t="str">
        <f aca="false">IF($B161="","",IF($D161&gt;=5,"-",INDEX(IF($C161="Supporter",Nguong!$E$4:$E$8,Nguong!$C$4:$C$8),$D161+1)))</f>
        <v/>
      </c>
      <c r="AA161" s="16" t="str">
        <f aca="false">IF($B161="","",INDEX(IF($C161="Supporter",Nguong!$F$4:$F$8,Nguong!$D$4:$D$8),$D161))</f>
        <v/>
      </c>
      <c r="AB161" s="17" t="str">
        <f aca="false">IF($B161="","",IF($Y161="Không đạt",IF($D161=1,"Không đạt ĐK cần – SM/GĐKV xem xét","Xuống Level "&amp;($D161-1)&amp;" (không đạt ĐK cần)"),IF(AND($D161&lt;5,$Z161&lt;&gt;"-",$X161&lt;=$Z161,$N161="Có",$O161="Có"),"Lên Level "&amp;($D161+1),IF($X161&lt;=$AA161,"Giữ Level "&amp;$D161,"Xuống Level "&amp;($D161-1)&amp;" (ngoài ngưỡng giữ)"))))</f>
        <v/>
      </c>
    </row>
    <row r="162" customFormat="false" ht="15" hidden="false" customHeight="false" outlineLevel="0" collapsed="false">
      <c r="A162" s="7"/>
      <c r="B162" s="7"/>
      <c r="C162" s="8"/>
      <c r="D162" s="8"/>
      <c r="E162" s="8"/>
      <c r="F162" s="9"/>
      <c r="G162" s="9"/>
      <c r="H162" s="9"/>
      <c r="I162" s="9"/>
      <c r="J162" s="9"/>
      <c r="K162" s="9"/>
      <c r="L162" s="9"/>
      <c r="M162" s="8"/>
      <c r="N162" s="8"/>
      <c r="O162" s="8"/>
      <c r="P162" s="10" t="str">
        <f aca="false">IF($B162="","",IF(AND($C162="Supporter",$E162=4),3,$E162))</f>
        <v/>
      </c>
      <c r="Q162" s="11" t="str">
        <f aca="false">IF($B162="","",IF($G162&gt;0,$H162/$G162,0))</f>
        <v/>
      </c>
      <c r="R162" s="12" t="str">
        <f aca="false">IF($B162="","",IF($G162&gt;0,$I162/$G162,0))</f>
        <v/>
      </c>
      <c r="S162" s="13" t="str">
        <f aca="false">IF($B162="","",IF($W162&lt;=1,100,COUNTIFS($C$5:$C$204,$C162,$P$5:$P$204,$P162,$F$5:$F$204,"&lt;"&amp;$F162)/($W162-1)*100))</f>
        <v/>
      </c>
      <c r="T162" s="13" t="str">
        <f aca="false">IF($B162="","",IF($C162="Supporter","-",IF($W162&lt;=1,100,COUNTIFS($C$5:$C$204,$C162,$P$5:$P$204,$P162,$Q$5:$Q$204,"&lt;"&amp;$Q162)/($W162-1)*100)))</f>
        <v/>
      </c>
      <c r="U162" s="14" t="str">
        <f aca="false">IF($B162="","",IF($C162="Supporter",$S162,0.85*$S162+0.15*$T162))</f>
        <v/>
      </c>
      <c r="V162" s="10" t="str">
        <f aca="false">IF($B162="","",COUNTIFS($C$5:$C$204,$C162,$P$5:$P$204,$P162,$U$5:$U$204,"&gt;"&amp;$U162)+1)</f>
        <v/>
      </c>
      <c r="W162" s="10" t="str">
        <f aca="false">IF($B162="","",COUNTIFS($C$5:$C$204,$C162,$P$5:$P$204,$P162))</f>
        <v/>
      </c>
      <c r="X162" s="15" t="str">
        <f aca="false">IF($B162="","",$V162/$W162)</f>
        <v/>
      </c>
      <c r="Y162" s="10" t="str">
        <f aca="false">IF($B162="","",IF(AND($M162="Có",$J162&lt;=Nguong!$B$16,$K162&lt;=Nguong!$B$17,$L162&lt;=Nguong!$B$18,$R162&lt;=INDEX(Nguong!$B$4:$B$8,$D162)),"Đạt","Không đạt"))</f>
        <v/>
      </c>
      <c r="Z162" s="16" t="str">
        <f aca="false">IF($B162="","",IF($D162&gt;=5,"-",INDEX(IF($C162="Supporter",Nguong!$E$4:$E$8,Nguong!$C$4:$C$8),$D162+1)))</f>
        <v/>
      </c>
      <c r="AA162" s="16" t="str">
        <f aca="false">IF($B162="","",INDEX(IF($C162="Supporter",Nguong!$F$4:$F$8,Nguong!$D$4:$D$8),$D162))</f>
        <v/>
      </c>
      <c r="AB162" s="17" t="str">
        <f aca="false">IF($B162="","",IF($Y162="Không đạt",IF($D162=1,"Không đạt ĐK cần – SM/GĐKV xem xét","Xuống Level "&amp;($D162-1)&amp;" (không đạt ĐK cần)"),IF(AND($D162&lt;5,$Z162&lt;&gt;"-",$X162&lt;=$Z162,$N162="Có",$O162="Có"),"Lên Level "&amp;($D162+1),IF($X162&lt;=$AA162,"Giữ Level "&amp;$D162,"Xuống Level "&amp;($D162-1)&amp;" (ngoài ngưỡng giữ)"))))</f>
        <v/>
      </c>
    </row>
    <row r="163" customFormat="false" ht="15" hidden="false" customHeight="false" outlineLevel="0" collapsed="false">
      <c r="A163" s="7"/>
      <c r="B163" s="7"/>
      <c r="C163" s="8"/>
      <c r="D163" s="8"/>
      <c r="E163" s="8"/>
      <c r="F163" s="9"/>
      <c r="G163" s="9"/>
      <c r="H163" s="9"/>
      <c r="I163" s="9"/>
      <c r="J163" s="9"/>
      <c r="K163" s="9"/>
      <c r="L163" s="9"/>
      <c r="M163" s="8"/>
      <c r="N163" s="8"/>
      <c r="O163" s="8"/>
      <c r="P163" s="10" t="str">
        <f aca="false">IF($B163="","",IF(AND($C163="Supporter",$E163=4),3,$E163))</f>
        <v/>
      </c>
      <c r="Q163" s="11" t="str">
        <f aca="false">IF($B163="","",IF($G163&gt;0,$H163/$G163,0))</f>
        <v/>
      </c>
      <c r="R163" s="12" t="str">
        <f aca="false">IF($B163="","",IF($G163&gt;0,$I163/$G163,0))</f>
        <v/>
      </c>
      <c r="S163" s="13" t="str">
        <f aca="false">IF($B163="","",IF($W163&lt;=1,100,COUNTIFS($C$5:$C$204,$C163,$P$5:$P$204,$P163,$F$5:$F$204,"&lt;"&amp;$F163)/($W163-1)*100))</f>
        <v/>
      </c>
      <c r="T163" s="13" t="str">
        <f aca="false">IF($B163="","",IF($C163="Supporter","-",IF($W163&lt;=1,100,COUNTIFS($C$5:$C$204,$C163,$P$5:$P$204,$P163,$Q$5:$Q$204,"&lt;"&amp;$Q163)/($W163-1)*100)))</f>
        <v/>
      </c>
      <c r="U163" s="14" t="str">
        <f aca="false">IF($B163="","",IF($C163="Supporter",$S163,0.85*$S163+0.15*$T163))</f>
        <v/>
      </c>
      <c r="V163" s="10" t="str">
        <f aca="false">IF($B163="","",COUNTIFS($C$5:$C$204,$C163,$P$5:$P$204,$P163,$U$5:$U$204,"&gt;"&amp;$U163)+1)</f>
        <v/>
      </c>
      <c r="W163" s="10" t="str">
        <f aca="false">IF($B163="","",COUNTIFS($C$5:$C$204,$C163,$P$5:$P$204,$P163))</f>
        <v/>
      </c>
      <c r="X163" s="15" t="str">
        <f aca="false">IF($B163="","",$V163/$W163)</f>
        <v/>
      </c>
      <c r="Y163" s="10" t="str">
        <f aca="false">IF($B163="","",IF(AND($M163="Có",$J163&lt;=Nguong!$B$16,$K163&lt;=Nguong!$B$17,$L163&lt;=Nguong!$B$18,$R163&lt;=INDEX(Nguong!$B$4:$B$8,$D163)),"Đạt","Không đạt"))</f>
        <v/>
      </c>
      <c r="Z163" s="16" t="str">
        <f aca="false">IF($B163="","",IF($D163&gt;=5,"-",INDEX(IF($C163="Supporter",Nguong!$E$4:$E$8,Nguong!$C$4:$C$8),$D163+1)))</f>
        <v/>
      </c>
      <c r="AA163" s="16" t="str">
        <f aca="false">IF($B163="","",INDEX(IF($C163="Supporter",Nguong!$F$4:$F$8,Nguong!$D$4:$D$8),$D163))</f>
        <v/>
      </c>
      <c r="AB163" s="17" t="str">
        <f aca="false">IF($B163="","",IF($Y163="Không đạt",IF($D163=1,"Không đạt ĐK cần – SM/GĐKV xem xét","Xuống Level "&amp;($D163-1)&amp;" (không đạt ĐK cần)"),IF(AND($D163&lt;5,$Z163&lt;&gt;"-",$X163&lt;=$Z163,$N163="Có",$O163="Có"),"Lên Level "&amp;($D163+1),IF($X163&lt;=$AA163,"Giữ Level "&amp;$D163,"Xuống Level "&amp;($D163-1)&amp;" (ngoài ngưỡng giữ)"))))</f>
        <v/>
      </c>
    </row>
    <row r="164" customFormat="false" ht="15" hidden="false" customHeight="false" outlineLevel="0" collapsed="false">
      <c r="A164" s="7"/>
      <c r="B164" s="7"/>
      <c r="C164" s="8"/>
      <c r="D164" s="8"/>
      <c r="E164" s="8"/>
      <c r="F164" s="9"/>
      <c r="G164" s="9"/>
      <c r="H164" s="9"/>
      <c r="I164" s="9"/>
      <c r="J164" s="9"/>
      <c r="K164" s="9"/>
      <c r="L164" s="9"/>
      <c r="M164" s="8"/>
      <c r="N164" s="8"/>
      <c r="O164" s="8"/>
      <c r="P164" s="10" t="str">
        <f aca="false">IF($B164="","",IF(AND($C164="Supporter",$E164=4),3,$E164))</f>
        <v/>
      </c>
      <c r="Q164" s="11" t="str">
        <f aca="false">IF($B164="","",IF($G164&gt;0,$H164/$G164,0))</f>
        <v/>
      </c>
      <c r="R164" s="12" t="str">
        <f aca="false">IF($B164="","",IF($G164&gt;0,$I164/$G164,0))</f>
        <v/>
      </c>
      <c r="S164" s="13" t="str">
        <f aca="false">IF($B164="","",IF($W164&lt;=1,100,COUNTIFS($C$5:$C$204,$C164,$P$5:$P$204,$P164,$F$5:$F$204,"&lt;"&amp;$F164)/($W164-1)*100))</f>
        <v/>
      </c>
      <c r="T164" s="13" t="str">
        <f aca="false">IF($B164="","",IF($C164="Supporter","-",IF($W164&lt;=1,100,COUNTIFS($C$5:$C$204,$C164,$P$5:$P$204,$P164,$Q$5:$Q$204,"&lt;"&amp;$Q164)/($W164-1)*100)))</f>
        <v/>
      </c>
      <c r="U164" s="14" t="str">
        <f aca="false">IF($B164="","",IF($C164="Supporter",$S164,0.85*$S164+0.15*$T164))</f>
        <v/>
      </c>
      <c r="V164" s="10" t="str">
        <f aca="false">IF($B164="","",COUNTIFS($C$5:$C$204,$C164,$P$5:$P$204,$P164,$U$5:$U$204,"&gt;"&amp;$U164)+1)</f>
        <v/>
      </c>
      <c r="W164" s="10" t="str">
        <f aca="false">IF($B164="","",COUNTIFS($C$5:$C$204,$C164,$P$5:$P$204,$P164))</f>
        <v/>
      </c>
      <c r="X164" s="15" t="str">
        <f aca="false">IF($B164="","",$V164/$W164)</f>
        <v/>
      </c>
      <c r="Y164" s="10" t="str">
        <f aca="false">IF($B164="","",IF(AND($M164="Có",$J164&lt;=Nguong!$B$16,$K164&lt;=Nguong!$B$17,$L164&lt;=Nguong!$B$18,$R164&lt;=INDEX(Nguong!$B$4:$B$8,$D164)),"Đạt","Không đạt"))</f>
        <v/>
      </c>
      <c r="Z164" s="16" t="str">
        <f aca="false">IF($B164="","",IF($D164&gt;=5,"-",INDEX(IF($C164="Supporter",Nguong!$E$4:$E$8,Nguong!$C$4:$C$8),$D164+1)))</f>
        <v/>
      </c>
      <c r="AA164" s="16" t="str">
        <f aca="false">IF($B164="","",INDEX(IF($C164="Supporter",Nguong!$F$4:$F$8,Nguong!$D$4:$D$8),$D164))</f>
        <v/>
      </c>
      <c r="AB164" s="17" t="str">
        <f aca="false">IF($B164="","",IF($Y164="Không đạt",IF($D164=1,"Không đạt ĐK cần – SM/GĐKV xem xét","Xuống Level "&amp;($D164-1)&amp;" (không đạt ĐK cần)"),IF(AND($D164&lt;5,$Z164&lt;&gt;"-",$X164&lt;=$Z164,$N164="Có",$O164="Có"),"Lên Level "&amp;($D164+1),IF($X164&lt;=$AA164,"Giữ Level "&amp;$D164,"Xuống Level "&amp;($D164-1)&amp;" (ngoài ngưỡng giữ)"))))</f>
        <v/>
      </c>
    </row>
    <row r="165" customFormat="false" ht="15" hidden="false" customHeight="false" outlineLevel="0" collapsed="false">
      <c r="A165" s="7"/>
      <c r="B165" s="7"/>
      <c r="C165" s="8"/>
      <c r="D165" s="8"/>
      <c r="E165" s="8"/>
      <c r="F165" s="9"/>
      <c r="G165" s="9"/>
      <c r="H165" s="9"/>
      <c r="I165" s="9"/>
      <c r="J165" s="9"/>
      <c r="K165" s="9"/>
      <c r="L165" s="9"/>
      <c r="M165" s="8"/>
      <c r="N165" s="8"/>
      <c r="O165" s="8"/>
      <c r="P165" s="10" t="str">
        <f aca="false">IF($B165="","",IF(AND($C165="Supporter",$E165=4),3,$E165))</f>
        <v/>
      </c>
      <c r="Q165" s="11" t="str">
        <f aca="false">IF($B165="","",IF($G165&gt;0,$H165/$G165,0))</f>
        <v/>
      </c>
      <c r="R165" s="12" t="str">
        <f aca="false">IF($B165="","",IF($G165&gt;0,$I165/$G165,0))</f>
        <v/>
      </c>
      <c r="S165" s="13" t="str">
        <f aca="false">IF($B165="","",IF($W165&lt;=1,100,COUNTIFS($C$5:$C$204,$C165,$P$5:$P$204,$P165,$F$5:$F$204,"&lt;"&amp;$F165)/($W165-1)*100))</f>
        <v/>
      </c>
      <c r="T165" s="13" t="str">
        <f aca="false">IF($B165="","",IF($C165="Supporter","-",IF($W165&lt;=1,100,COUNTIFS($C$5:$C$204,$C165,$P$5:$P$204,$P165,$Q$5:$Q$204,"&lt;"&amp;$Q165)/($W165-1)*100)))</f>
        <v/>
      </c>
      <c r="U165" s="14" t="str">
        <f aca="false">IF($B165="","",IF($C165="Supporter",$S165,0.85*$S165+0.15*$T165))</f>
        <v/>
      </c>
      <c r="V165" s="10" t="str">
        <f aca="false">IF($B165="","",COUNTIFS($C$5:$C$204,$C165,$P$5:$P$204,$P165,$U$5:$U$204,"&gt;"&amp;$U165)+1)</f>
        <v/>
      </c>
      <c r="W165" s="10" t="str">
        <f aca="false">IF($B165="","",COUNTIFS($C$5:$C$204,$C165,$P$5:$P$204,$P165))</f>
        <v/>
      </c>
      <c r="X165" s="15" t="str">
        <f aca="false">IF($B165="","",$V165/$W165)</f>
        <v/>
      </c>
      <c r="Y165" s="10" t="str">
        <f aca="false">IF($B165="","",IF(AND($M165="Có",$J165&lt;=Nguong!$B$16,$K165&lt;=Nguong!$B$17,$L165&lt;=Nguong!$B$18,$R165&lt;=INDEX(Nguong!$B$4:$B$8,$D165)),"Đạt","Không đạt"))</f>
        <v/>
      </c>
      <c r="Z165" s="16" t="str">
        <f aca="false">IF($B165="","",IF($D165&gt;=5,"-",INDEX(IF($C165="Supporter",Nguong!$E$4:$E$8,Nguong!$C$4:$C$8),$D165+1)))</f>
        <v/>
      </c>
      <c r="AA165" s="16" t="str">
        <f aca="false">IF($B165="","",INDEX(IF($C165="Supporter",Nguong!$F$4:$F$8,Nguong!$D$4:$D$8),$D165))</f>
        <v/>
      </c>
      <c r="AB165" s="17" t="str">
        <f aca="false">IF($B165="","",IF($Y165="Không đạt",IF($D165=1,"Không đạt ĐK cần – SM/GĐKV xem xét","Xuống Level "&amp;($D165-1)&amp;" (không đạt ĐK cần)"),IF(AND($D165&lt;5,$Z165&lt;&gt;"-",$X165&lt;=$Z165,$N165="Có",$O165="Có"),"Lên Level "&amp;($D165+1),IF($X165&lt;=$AA165,"Giữ Level "&amp;$D165,"Xuống Level "&amp;($D165-1)&amp;" (ngoài ngưỡng giữ)"))))</f>
        <v/>
      </c>
    </row>
    <row r="166" customFormat="false" ht="15" hidden="false" customHeight="false" outlineLevel="0" collapsed="false">
      <c r="A166" s="7"/>
      <c r="B166" s="7"/>
      <c r="C166" s="8"/>
      <c r="D166" s="8"/>
      <c r="E166" s="8"/>
      <c r="F166" s="9"/>
      <c r="G166" s="9"/>
      <c r="H166" s="9"/>
      <c r="I166" s="9"/>
      <c r="J166" s="9"/>
      <c r="K166" s="9"/>
      <c r="L166" s="9"/>
      <c r="M166" s="8"/>
      <c r="N166" s="8"/>
      <c r="O166" s="8"/>
      <c r="P166" s="10" t="str">
        <f aca="false">IF($B166="","",IF(AND($C166="Supporter",$E166=4),3,$E166))</f>
        <v/>
      </c>
      <c r="Q166" s="11" t="str">
        <f aca="false">IF($B166="","",IF($G166&gt;0,$H166/$G166,0))</f>
        <v/>
      </c>
      <c r="R166" s="12" t="str">
        <f aca="false">IF($B166="","",IF($G166&gt;0,$I166/$G166,0))</f>
        <v/>
      </c>
      <c r="S166" s="13" t="str">
        <f aca="false">IF($B166="","",IF($W166&lt;=1,100,COUNTIFS($C$5:$C$204,$C166,$P$5:$P$204,$P166,$F$5:$F$204,"&lt;"&amp;$F166)/($W166-1)*100))</f>
        <v/>
      </c>
      <c r="T166" s="13" t="str">
        <f aca="false">IF($B166="","",IF($C166="Supporter","-",IF($W166&lt;=1,100,COUNTIFS($C$5:$C$204,$C166,$P$5:$P$204,$P166,$Q$5:$Q$204,"&lt;"&amp;$Q166)/($W166-1)*100)))</f>
        <v/>
      </c>
      <c r="U166" s="14" t="str">
        <f aca="false">IF($B166="","",IF($C166="Supporter",$S166,0.85*$S166+0.15*$T166))</f>
        <v/>
      </c>
      <c r="V166" s="10" t="str">
        <f aca="false">IF($B166="","",COUNTIFS($C$5:$C$204,$C166,$P$5:$P$204,$P166,$U$5:$U$204,"&gt;"&amp;$U166)+1)</f>
        <v/>
      </c>
      <c r="W166" s="10" t="str">
        <f aca="false">IF($B166="","",COUNTIFS($C$5:$C$204,$C166,$P$5:$P$204,$P166))</f>
        <v/>
      </c>
      <c r="X166" s="15" t="str">
        <f aca="false">IF($B166="","",$V166/$W166)</f>
        <v/>
      </c>
      <c r="Y166" s="10" t="str">
        <f aca="false">IF($B166="","",IF(AND($M166="Có",$J166&lt;=Nguong!$B$16,$K166&lt;=Nguong!$B$17,$L166&lt;=Nguong!$B$18,$R166&lt;=INDEX(Nguong!$B$4:$B$8,$D166)),"Đạt","Không đạt"))</f>
        <v/>
      </c>
      <c r="Z166" s="16" t="str">
        <f aca="false">IF($B166="","",IF($D166&gt;=5,"-",INDEX(IF($C166="Supporter",Nguong!$E$4:$E$8,Nguong!$C$4:$C$8),$D166+1)))</f>
        <v/>
      </c>
      <c r="AA166" s="16" t="str">
        <f aca="false">IF($B166="","",INDEX(IF($C166="Supporter",Nguong!$F$4:$F$8,Nguong!$D$4:$D$8),$D166))</f>
        <v/>
      </c>
      <c r="AB166" s="17" t="str">
        <f aca="false">IF($B166="","",IF($Y166="Không đạt",IF($D166=1,"Không đạt ĐK cần – SM/GĐKV xem xét","Xuống Level "&amp;($D166-1)&amp;" (không đạt ĐK cần)"),IF(AND($D166&lt;5,$Z166&lt;&gt;"-",$X166&lt;=$Z166,$N166="Có",$O166="Có"),"Lên Level "&amp;($D166+1),IF($X166&lt;=$AA166,"Giữ Level "&amp;$D166,"Xuống Level "&amp;($D166-1)&amp;" (ngoài ngưỡng giữ)"))))</f>
        <v/>
      </c>
    </row>
    <row r="167" customFormat="false" ht="15" hidden="false" customHeight="false" outlineLevel="0" collapsed="false">
      <c r="A167" s="7"/>
      <c r="B167" s="7"/>
      <c r="C167" s="8"/>
      <c r="D167" s="8"/>
      <c r="E167" s="8"/>
      <c r="F167" s="9"/>
      <c r="G167" s="9"/>
      <c r="H167" s="9"/>
      <c r="I167" s="9"/>
      <c r="J167" s="9"/>
      <c r="K167" s="9"/>
      <c r="L167" s="9"/>
      <c r="M167" s="8"/>
      <c r="N167" s="8"/>
      <c r="O167" s="8"/>
      <c r="P167" s="10" t="str">
        <f aca="false">IF($B167="","",IF(AND($C167="Supporter",$E167=4),3,$E167))</f>
        <v/>
      </c>
      <c r="Q167" s="11" t="str">
        <f aca="false">IF($B167="","",IF($G167&gt;0,$H167/$G167,0))</f>
        <v/>
      </c>
      <c r="R167" s="12" t="str">
        <f aca="false">IF($B167="","",IF($G167&gt;0,$I167/$G167,0))</f>
        <v/>
      </c>
      <c r="S167" s="13" t="str">
        <f aca="false">IF($B167="","",IF($W167&lt;=1,100,COUNTIFS($C$5:$C$204,$C167,$P$5:$P$204,$P167,$F$5:$F$204,"&lt;"&amp;$F167)/($W167-1)*100))</f>
        <v/>
      </c>
      <c r="T167" s="13" t="str">
        <f aca="false">IF($B167="","",IF($C167="Supporter","-",IF($W167&lt;=1,100,COUNTIFS($C$5:$C$204,$C167,$P$5:$P$204,$P167,$Q$5:$Q$204,"&lt;"&amp;$Q167)/($W167-1)*100)))</f>
        <v/>
      </c>
      <c r="U167" s="14" t="str">
        <f aca="false">IF($B167="","",IF($C167="Supporter",$S167,0.85*$S167+0.15*$T167))</f>
        <v/>
      </c>
      <c r="V167" s="10" t="str">
        <f aca="false">IF($B167="","",COUNTIFS($C$5:$C$204,$C167,$P$5:$P$204,$P167,$U$5:$U$204,"&gt;"&amp;$U167)+1)</f>
        <v/>
      </c>
      <c r="W167" s="10" t="str">
        <f aca="false">IF($B167="","",COUNTIFS($C$5:$C$204,$C167,$P$5:$P$204,$P167))</f>
        <v/>
      </c>
      <c r="X167" s="15" t="str">
        <f aca="false">IF($B167="","",$V167/$W167)</f>
        <v/>
      </c>
      <c r="Y167" s="10" t="str">
        <f aca="false">IF($B167="","",IF(AND($M167="Có",$J167&lt;=Nguong!$B$16,$K167&lt;=Nguong!$B$17,$L167&lt;=Nguong!$B$18,$R167&lt;=INDEX(Nguong!$B$4:$B$8,$D167)),"Đạt","Không đạt"))</f>
        <v/>
      </c>
      <c r="Z167" s="16" t="str">
        <f aca="false">IF($B167="","",IF($D167&gt;=5,"-",INDEX(IF($C167="Supporter",Nguong!$E$4:$E$8,Nguong!$C$4:$C$8),$D167+1)))</f>
        <v/>
      </c>
      <c r="AA167" s="16" t="str">
        <f aca="false">IF($B167="","",INDEX(IF($C167="Supporter",Nguong!$F$4:$F$8,Nguong!$D$4:$D$8),$D167))</f>
        <v/>
      </c>
      <c r="AB167" s="17" t="str">
        <f aca="false">IF($B167="","",IF($Y167="Không đạt",IF($D167=1,"Không đạt ĐK cần – SM/GĐKV xem xét","Xuống Level "&amp;($D167-1)&amp;" (không đạt ĐK cần)"),IF(AND($D167&lt;5,$Z167&lt;&gt;"-",$X167&lt;=$Z167,$N167="Có",$O167="Có"),"Lên Level "&amp;($D167+1),IF($X167&lt;=$AA167,"Giữ Level "&amp;$D167,"Xuống Level "&amp;($D167-1)&amp;" (ngoài ngưỡng giữ)"))))</f>
        <v/>
      </c>
    </row>
    <row r="168" customFormat="false" ht="15" hidden="false" customHeight="false" outlineLevel="0" collapsed="false">
      <c r="A168" s="7"/>
      <c r="B168" s="7"/>
      <c r="C168" s="8"/>
      <c r="D168" s="8"/>
      <c r="E168" s="8"/>
      <c r="F168" s="9"/>
      <c r="G168" s="9"/>
      <c r="H168" s="9"/>
      <c r="I168" s="9"/>
      <c r="J168" s="9"/>
      <c r="K168" s="9"/>
      <c r="L168" s="9"/>
      <c r="M168" s="8"/>
      <c r="N168" s="8"/>
      <c r="O168" s="8"/>
      <c r="P168" s="10" t="str">
        <f aca="false">IF($B168="","",IF(AND($C168="Supporter",$E168=4),3,$E168))</f>
        <v/>
      </c>
      <c r="Q168" s="11" t="str">
        <f aca="false">IF($B168="","",IF($G168&gt;0,$H168/$G168,0))</f>
        <v/>
      </c>
      <c r="R168" s="12" t="str">
        <f aca="false">IF($B168="","",IF($G168&gt;0,$I168/$G168,0))</f>
        <v/>
      </c>
      <c r="S168" s="13" t="str">
        <f aca="false">IF($B168="","",IF($W168&lt;=1,100,COUNTIFS($C$5:$C$204,$C168,$P$5:$P$204,$P168,$F$5:$F$204,"&lt;"&amp;$F168)/($W168-1)*100))</f>
        <v/>
      </c>
      <c r="T168" s="13" t="str">
        <f aca="false">IF($B168="","",IF($C168="Supporter","-",IF($W168&lt;=1,100,COUNTIFS($C$5:$C$204,$C168,$P$5:$P$204,$P168,$Q$5:$Q$204,"&lt;"&amp;$Q168)/($W168-1)*100)))</f>
        <v/>
      </c>
      <c r="U168" s="14" t="str">
        <f aca="false">IF($B168="","",IF($C168="Supporter",$S168,0.85*$S168+0.15*$T168))</f>
        <v/>
      </c>
      <c r="V168" s="10" t="str">
        <f aca="false">IF($B168="","",COUNTIFS($C$5:$C$204,$C168,$P$5:$P$204,$P168,$U$5:$U$204,"&gt;"&amp;$U168)+1)</f>
        <v/>
      </c>
      <c r="W168" s="10" t="str">
        <f aca="false">IF($B168="","",COUNTIFS($C$5:$C$204,$C168,$P$5:$P$204,$P168))</f>
        <v/>
      </c>
      <c r="X168" s="15" t="str">
        <f aca="false">IF($B168="","",$V168/$W168)</f>
        <v/>
      </c>
      <c r="Y168" s="10" t="str">
        <f aca="false">IF($B168="","",IF(AND($M168="Có",$J168&lt;=Nguong!$B$16,$K168&lt;=Nguong!$B$17,$L168&lt;=Nguong!$B$18,$R168&lt;=INDEX(Nguong!$B$4:$B$8,$D168)),"Đạt","Không đạt"))</f>
        <v/>
      </c>
      <c r="Z168" s="16" t="str">
        <f aca="false">IF($B168="","",IF($D168&gt;=5,"-",INDEX(IF($C168="Supporter",Nguong!$E$4:$E$8,Nguong!$C$4:$C$8),$D168+1)))</f>
        <v/>
      </c>
      <c r="AA168" s="16" t="str">
        <f aca="false">IF($B168="","",INDEX(IF($C168="Supporter",Nguong!$F$4:$F$8,Nguong!$D$4:$D$8),$D168))</f>
        <v/>
      </c>
      <c r="AB168" s="17" t="str">
        <f aca="false">IF($B168="","",IF($Y168="Không đạt",IF($D168=1,"Không đạt ĐK cần – SM/GĐKV xem xét","Xuống Level "&amp;($D168-1)&amp;" (không đạt ĐK cần)"),IF(AND($D168&lt;5,$Z168&lt;&gt;"-",$X168&lt;=$Z168,$N168="Có",$O168="Có"),"Lên Level "&amp;($D168+1),IF($X168&lt;=$AA168,"Giữ Level "&amp;$D168,"Xuống Level "&amp;($D168-1)&amp;" (ngoài ngưỡng giữ)"))))</f>
        <v/>
      </c>
    </row>
    <row r="169" customFormat="false" ht="15" hidden="false" customHeight="false" outlineLevel="0" collapsed="false">
      <c r="A169" s="7"/>
      <c r="B169" s="7"/>
      <c r="C169" s="8"/>
      <c r="D169" s="8"/>
      <c r="E169" s="8"/>
      <c r="F169" s="9"/>
      <c r="G169" s="9"/>
      <c r="H169" s="9"/>
      <c r="I169" s="9"/>
      <c r="J169" s="9"/>
      <c r="K169" s="9"/>
      <c r="L169" s="9"/>
      <c r="M169" s="8"/>
      <c r="N169" s="8"/>
      <c r="O169" s="8"/>
      <c r="P169" s="10" t="str">
        <f aca="false">IF($B169="","",IF(AND($C169="Supporter",$E169=4),3,$E169))</f>
        <v/>
      </c>
      <c r="Q169" s="11" t="str">
        <f aca="false">IF($B169="","",IF($G169&gt;0,$H169/$G169,0))</f>
        <v/>
      </c>
      <c r="R169" s="12" t="str">
        <f aca="false">IF($B169="","",IF($G169&gt;0,$I169/$G169,0))</f>
        <v/>
      </c>
      <c r="S169" s="13" t="str">
        <f aca="false">IF($B169="","",IF($W169&lt;=1,100,COUNTIFS($C$5:$C$204,$C169,$P$5:$P$204,$P169,$F$5:$F$204,"&lt;"&amp;$F169)/($W169-1)*100))</f>
        <v/>
      </c>
      <c r="T169" s="13" t="str">
        <f aca="false">IF($B169="","",IF($C169="Supporter","-",IF($W169&lt;=1,100,COUNTIFS($C$5:$C$204,$C169,$P$5:$P$204,$P169,$Q$5:$Q$204,"&lt;"&amp;$Q169)/($W169-1)*100)))</f>
        <v/>
      </c>
      <c r="U169" s="14" t="str">
        <f aca="false">IF($B169="","",IF($C169="Supporter",$S169,0.85*$S169+0.15*$T169))</f>
        <v/>
      </c>
      <c r="V169" s="10" t="str">
        <f aca="false">IF($B169="","",COUNTIFS($C$5:$C$204,$C169,$P$5:$P$204,$P169,$U$5:$U$204,"&gt;"&amp;$U169)+1)</f>
        <v/>
      </c>
      <c r="W169" s="10" t="str">
        <f aca="false">IF($B169="","",COUNTIFS($C$5:$C$204,$C169,$P$5:$P$204,$P169))</f>
        <v/>
      </c>
      <c r="X169" s="15" t="str">
        <f aca="false">IF($B169="","",$V169/$W169)</f>
        <v/>
      </c>
      <c r="Y169" s="10" t="str">
        <f aca="false">IF($B169="","",IF(AND($M169="Có",$J169&lt;=Nguong!$B$16,$K169&lt;=Nguong!$B$17,$L169&lt;=Nguong!$B$18,$R169&lt;=INDEX(Nguong!$B$4:$B$8,$D169)),"Đạt","Không đạt"))</f>
        <v/>
      </c>
      <c r="Z169" s="16" t="str">
        <f aca="false">IF($B169="","",IF($D169&gt;=5,"-",INDEX(IF($C169="Supporter",Nguong!$E$4:$E$8,Nguong!$C$4:$C$8),$D169+1)))</f>
        <v/>
      </c>
      <c r="AA169" s="16" t="str">
        <f aca="false">IF($B169="","",INDEX(IF($C169="Supporter",Nguong!$F$4:$F$8,Nguong!$D$4:$D$8),$D169))</f>
        <v/>
      </c>
      <c r="AB169" s="17" t="str">
        <f aca="false">IF($B169="","",IF($Y169="Không đạt",IF($D169=1,"Không đạt ĐK cần – SM/GĐKV xem xét","Xuống Level "&amp;($D169-1)&amp;" (không đạt ĐK cần)"),IF(AND($D169&lt;5,$Z169&lt;&gt;"-",$X169&lt;=$Z169,$N169="Có",$O169="Có"),"Lên Level "&amp;($D169+1),IF($X169&lt;=$AA169,"Giữ Level "&amp;$D169,"Xuống Level "&amp;($D169-1)&amp;" (ngoài ngưỡng giữ)"))))</f>
        <v/>
      </c>
    </row>
    <row r="170" customFormat="false" ht="15" hidden="false" customHeight="false" outlineLevel="0" collapsed="false">
      <c r="A170" s="7"/>
      <c r="B170" s="7"/>
      <c r="C170" s="8"/>
      <c r="D170" s="8"/>
      <c r="E170" s="8"/>
      <c r="F170" s="9"/>
      <c r="G170" s="9"/>
      <c r="H170" s="9"/>
      <c r="I170" s="9"/>
      <c r="J170" s="9"/>
      <c r="K170" s="9"/>
      <c r="L170" s="9"/>
      <c r="M170" s="8"/>
      <c r="N170" s="8"/>
      <c r="O170" s="8"/>
      <c r="P170" s="10" t="str">
        <f aca="false">IF($B170="","",IF(AND($C170="Supporter",$E170=4),3,$E170))</f>
        <v/>
      </c>
      <c r="Q170" s="11" t="str">
        <f aca="false">IF($B170="","",IF($G170&gt;0,$H170/$G170,0))</f>
        <v/>
      </c>
      <c r="R170" s="12" t="str">
        <f aca="false">IF($B170="","",IF($G170&gt;0,$I170/$G170,0))</f>
        <v/>
      </c>
      <c r="S170" s="13" t="str">
        <f aca="false">IF($B170="","",IF($W170&lt;=1,100,COUNTIFS($C$5:$C$204,$C170,$P$5:$P$204,$P170,$F$5:$F$204,"&lt;"&amp;$F170)/($W170-1)*100))</f>
        <v/>
      </c>
      <c r="T170" s="13" t="str">
        <f aca="false">IF($B170="","",IF($C170="Supporter","-",IF($W170&lt;=1,100,COUNTIFS($C$5:$C$204,$C170,$P$5:$P$204,$P170,$Q$5:$Q$204,"&lt;"&amp;$Q170)/($W170-1)*100)))</f>
        <v/>
      </c>
      <c r="U170" s="14" t="str">
        <f aca="false">IF($B170="","",IF($C170="Supporter",$S170,0.85*$S170+0.15*$T170))</f>
        <v/>
      </c>
      <c r="V170" s="10" t="str">
        <f aca="false">IF($B170="","",COUNTIFS($C$5:$C$204,$C170,$P$5:$P$204,$P170,$U$5:$U$204,"&gt;"&amp;$U170)+1)</f>
        <v/>
      </c>
      <c r="W170" s="10" t="str">
        <f aca="false">IF($B170="","",COUNTIFS($C$5:$C$204,$C170,$P$5:$P$204,$P170))</f>
        <v/>
      </c>
      <c r="X170" s="15" t="str">
        <f aca="false">IF($B170="","",$V170/$W170)</f>
        <v/>
      </c>
      <c r="Y170" s="10" t="str">
        <f aca="false">IF($B170="","",IF(AND($M170="Có",$J170&lt;=Nguong!$B$16,$K170&lt;=Nguong!$B$17,$L170&lt;=Nguong!$B$18,$R170&lt;=INDEX(Nguong!$B$4:$B$8,$D170)),"Đạt","Không đạt"))</f>
        <v/>
      </c>
      <c r="Z170" s="16" t="str">
        <f aca="false">IF($B170="","",IF($D170&gt;=5,"-",INDEX(IF($C170="Supporter",Nguong!$E$4:$E$8,Nguong!$C$4:$C$8),$D170+1)))</f>
        <v/>
      </c>
      <c r="AA170" s="16" t="str">
        <f aca="false">IF($B170="","",INDEX(IF($C170="Supporter",Nguong!$F$4:$F$8,Nguong!$D$4:$D$8),$D170))</f>
        <v/>
      </c>
      <c r="AB170" s="17" t="str">
        <f aca="false">IF($B170="","",IF($Y170="Không đạt",IF($D170=1,"Không đạt ĐK cần – SM/GĐKV xem xét","Xuống Level "&amp;($D170-1)&amp;" (không đạt ĐK cần)"),IF(AND($D170&lt;5,$Z170&lt;&gt;"-",$X170&lt;=$Z170,$N170="Có",$O170="Có"),"Lên Level "&amp;($D170+1),IF($X170&lt;=$AA170,"Giữ Level "&amp;$D170,"Xuống Level "&amp;($D170-1)&amp;" (ngoài ngưỡng giữ)"))))</f>
        <v/>
      </c>
    </row>
    <row r="171" customFormat="false" ht="15" hidden="false" customHeight="false" outlineLevel="0" collapsed="false">
      <c r="A171" s="7"/>
      <c r="B171" s="7"/>
      <c r="C171" s="8"/>
      <c r="D171" s="8"/>
      <c r="E171" s="8"/>
      <c r="F171" s="9"/>
      <c r="G171" s="9"/>
      <c r="H171" s="9"/>
      <c r="I171" s="9"/>
      <c r="J171" s="9"/>
      <c r="K171" s="9"/>
      <c r="L171" s="9"/>
      <c r="M171" s="8"/>
      <c r="N171" s="8"/>
      <c r="O171" s="8"/>
      <c r="P171" s="10" t="str">
        <f aca="false">IF($B171="","",IF(AND($C171="Supporter",$E171=4),3,$E171))</f>
        <v/>
      </c>
      <c r="Q171" s="11" t="str">
        <f aca="false">IF($B171="","",IF($G171&gt;0,$H171/$G171,0))</f>
        <v/>
      </c>
      <c r="R171" s="12" t="str">
        <f aca="false">IF($B171="","",IF($G171&gt;0,$I171/$G171,0))</f>
        <v/>
      </c>
      <c r="S171" s="13" t="str">
        <f aca="false">IF($B171="","",IF($W171&lt;=1,100,COUNTIFS($C$5:$C$204,$C171,$P$5:$P$204,$P171,$F$5:$F$204,"&lt;"&amp;$F171)/($W171-1)*100))</f>
        <v/>
      </c>
      <c r="T171" s="13" t="str">
        <f aca="false">IF($B171="","",IF($C171="Supporter","-",IF($W171&lt;=1,100,COUNTIFS($C$5:$C$204,$C171,$P$5:$P$204,$P171,$Q$5:$Q$204,"&lt;"&amp;$Q171)/($W171-1)*100)))</f>
        <v/>
      </c>
      <c r="U171" s="14" t="str">
        <f aca="false">IF($B171="","",IF($C171="Supporter",$S171,0.85*$S171+0.15*$T171))</f>
        <v/>
      </c>
      <c r="V171" s="10" t="str">
        <f aca="false">IF($B171="","",COUNTIFS($C$5:$C$204,$C171,$P$5:$P$204,$P171,$U$5:$U$204,"&gt;"&amp;$U171)+1)</f>
        <v/>
      </c>
      <c r="W171" s="10" t="str">
        <f aca="false">IF($B171="","",COUNTIFS($C$5:$C$204,$C171,$P$5:$P$204,$P171))</f>
        <v/>
      </c>
      <c r="X171" s="15" t="str">
        <f aca="false">IF($B171="","",$V171/$W171)</f>
        <v/>
      </c>
      <c r="Y171" s="10" t="str">
        <f aca="false">IF($B171="","",IF(AND($M171="Có",$J171&lt;=Nguong!$B$16,$K171&lt;=Nguong!$B$17,$L171&lt;=Nguong!$B$18,$R171&lt;=INDEX(Nguong!$B$4:$B$8,$D171)),"Đạt","Không đạt"))</f>
        <v/>
      </c>
      <c r="Z171" s="16" t="str">
        <f aca="false">IF($B171="","",IF($D171&gt;=5,"-",INDEX(IF($C171="Supporter",Nguong!$E$4:$E$8,Nguong!$C$4:$C$8),$D171+1)))</f>
        <v/>
      </c>
      <c r="AA171" s="16" t="str">
        <f aca="false">IF($B171="","",INDEX(IF($C171="Supporter",Nguong!$F$4:$F$8,Nguong!$D$4:$D$8),$D171))</f>
        <v/>
      </c>
      <c r="AB171" s="17" t="str">
        <f aca="false">IF($B171="","",IF($Y171="Không đạt",IF($D171=1,"Không đạt ĐK cần – SM/GĐKV xem xét","Xuống Level "&amp;($D171-1)&amp;" (không đạt ĐK cần)"),IF(AND($D171&lt;5,$Z171&lt;&gt;"-",$X171&lt;=$Z171,$N171="Có",$O171="Có"),"Lên Level "&amp;($D171+1),IF($X171&lt;=$AA171,"Giữ Level "&amp;$D171,"Xuống Level "&amp;($D171-1)&amp;" (ngoài ngưỡng giữ)"))))</f>
        <v/>
      </c>
    </row>
    <row r="172" customFormat="false" ht="15" hidden="false" customHeight="false" outlineLevel="0" collapsed="false">
      <c r="A172" s="7"/>
      <c r="B172" s="7"/>
      <c r="C172" s="8"/>
      <c r="D172" s="8"/>
      <c r="E172" s="8"/>
      <c r="F172" s="9"/>
      <c r="G172" s="9"/>
      <c r="H172" s="9"/>
      <c r="I172" s="9"/>
      <c r="J172" s="9"/>
      <c r="K172" s="9"/>
      <c r="L172" s="9"/>
      <c r="M172" s="8"/>
      <c r="N172" s="8"/>
      <c r="O172" s="8"/>
      <c r="P172" s="10" t="str">
        <f aca="false">IF($B172="","",IF(AND($C172="Supporter",$E172=4),3,$E172))</f>
        <v/>
      </c>
      <c r="Q172" s="11" t="str">
        <f aca="false">IF($B172="","",IF($G172&gt;0,$H172/$G172,0))</f>
        <v/>
      </c>
      <c r="R172" s="12" t="str">
        <f aca="false">IF($B172="","",IF($G172&gt;0,$I172/$G172,0))</f>
        <v/>
      </c>
      <c r="S172" s="13" t="str">
        <f aca="false">IF($B172="","",IF($W172&lt;=1,100,COUNTIFS($C$5:$C$204,$C172,$P$5:$P$204,$P172,$F$5:$F$204,"&lt;"&amp;$F172)/($W172-1)*100))</f>
        <v/>
      </c>
      <c r="T172" s="13" t="str">
        <f aca="false">IF($B172="","",IF($C172="Supporter","-",IF($W172&lt;=1,100,COUNTIFS($C$5:$C$204,$C172,$P$5:$P$204,$P172,$Q$5:$Q$204,"&lt;"&amp;$Q172)/($W172-1)*100)))</f>
        <v/>
      </c>
      <c r="U172" s="14" t="str">
        <f aca="false">IF($B172="","",IF($C172="Supporter",$S172,0.85*$S172+0.15*$T172))</f>
        <v/>
      </c>
      <c r="V172" s="10" t="str">
        <f aca="false">IF($B172="","",COUNTIFS($C$5:$C$204,$C172,$P$5:$P$204,$P172,$U$5:$U$204,"&gt;"&amp;$U172)+1)</f>
        <v/>
      </c>
      <c r="W172" s="10" t="str">
        <f aca="false">IF($B172="","",COUNTIFS($C$5:$C$204,$C172,$P$5:$P$204,$P172))</f>
        <v/>
      </c>
      <c r="X172" s="15" t="str">
        <f aca="false">IF($B172="","",$V172/$W172)</f>
        <v/>
      </c>
      <c r="Y172" s="10" t="str">
        <f aca="false">IF($B172="","",IF(AND($M172="Có",$J172&lt;=Nguong!$B$16,$K172&lt;=Nguong!$B$17,$L172&lt;=Nguong!$B$18,$R172&lt;=INDEX(Nguong!$B$4:$B$8,$D172)),"Đạt","Không đạt"))</f>
        <v/>
      </c>
      <c r="Z172" s="16" t="str">
        <f aca="false">IF($B172="","",IF($D172&gt;=5,"-",INDEX(IF($C172="Supporter",Nguong!$E$4:$E$8,Nguong!$C$4:$C$8),$D172+1)))</f>
        <v/>
      </c>
      <c r="AA172" s="16" t="str">
        <f aca="false">IF($B172="","",INDEX(IF($C172="Supporter",Nguong!$F$4:$F$8,Nguong!$D$4:$D$8),$D172))</f>
        <v/>
      </c>
      <c r="AB172" s="17" t="str">
        <f aca="false">IF($B172="","",IF($Y172="Không đạt",IF($D172=1,"Không đạt ĐK cần – SM/GĐKV xem xét","Xuống Level "&amp;($D172-1)&amp;" (không đạt ĐK cần)"),IF(AND($D172&lt;5,$Z172&lt;&gt;"-",$X172&lt;=$Z172,$N172="Có",$O172="Có"),"Lên Level "&amp;($D172+1),IF($X172&lt;=$AA172,"Giữ Level "&amp;$D172,"Xuống Level "&amp;($D172-1)&amp;" (ngoài ngưỡng giữ)"))))</f>
        <v/>
      </c>
    </row>
    <row r="173" customFormat="false" ht="15" hidden="false" customHeight="false" outlineLevel="0" collapsed="false">
      <c r="A173" s="7"/>
      <c r="B173" s="7"/>
      <c r="C173" s="8"/>
      <c r="D173" s="8"/>
      <c r="E173" s="8"/>
      <c r="F173" s="9"/>
      <c r="G173" s="9"/>
      <c r="H173" s="9"/>
      <c r="I173" s="9"/>
      <c r="J173" s="9"/>
      <c r="K173" s="9"/>
      <c r="L173" s="9"/>
      <c r="M173" s="8"/>
      <c r="N173" s="8"/>
      <c r="O173" s="8"/>
      <c r="P173" s="10" t="str">
        <f aca="false">IF($B173="","",IF(AND($C173="Supporter",$E173=4),3,$E173))</f>
        <v/>
      </c>
      <c r="Q173" s="11" t="str">
        <f aca="false">IF($B173="","",IF($G173&gt;0,$H173/$G173,0))</f>
        <v/>
      </c>
      <c r="R173" s="12" t="str">
        <f aca="false">IF($B173="","",IF($G173&gt;0,$I173/$G173,0))</f>
        <v/>
      </c>
      <c r="S173" s="13" t="str">
        <f aca="false">IF($B173="","",IF($W173&lt;=1,100,COUNTIFS($C$5:$C$204,$C173,$P$5:$P$204,$P173,$F$5:$F$204,"&lt;"&amp;$F173)/($W173-1)*100))</f>
        <v/>
      </c>
      <c r="T173" s="13" t="str">
        <f aca="false">IF($B173="","",IF($C173="Supporter","-",IF($W173&lt;=1,100,COUNTIFS($C$5:$C$204,$C173,$P$5:$P$204,$P173,$Q$5:$Q$204,"&lt;"&amp;$Q173)/($W173-1)*100)))</f>
        <v/>
      </c>
      <c r="U173" s="14" t="str">
        <f aca="false">IF($B173="","",IF($C173="Supporter",$S173,0.85*$S173+0.15*$T173))</f>
        <v/>
      </c>
      <c r="V173" s="10" t="str">
        <f aca="false">IF($B173="","",COUNTIFS($C$5:$C$204,$C173,$P$5:$P$204,$P173,$U$5:$U$204,"&gt;"&amp;$U173)+1)</f>
        <v/>
      </c>
      <c r="W173" s="10" t="str">
        <f aca="false">IF($B173="","",COUNTIFS($C$5:$C$204,$C173,$P$5:$P$204,$P173))</f>
        <v/>
      </c>
      <c r="X173" s="15" t="str">
        <f aca="false">IF($B173="","",$V173/$W173)</f>
        <v/>
      </c>
      <c r="Y173" s="10" t="str">
        <f aca="false">IF($B173="","",IF(AND($M173="Có",$J173&lt;=Nguong!$B$16,$K173&lt;=Nguong!$B$17,$L173&lt;=Nguong!$B$18,$R173&lt;=INDEX(Nguong!$B$4:$B$8,$D173)),"Đạt","Không đạt"))</f>
        <v/>
      </c>
      <c r="Z173" s="16" t="str">
        <f aca="false">IF($B173="","",IF($D173&gt;=5,"-",INDEX(IF($C173="Supporter",Nguong!$E$4:$E$8,Nguong!$C$4:$C$8),$D173+1)))</f>
        <v/>
      </c>
      <c r="AA173" s="16" t="str">
        <f aca="false">IF($B173="","",INDEX(IF($C173="Supporter",Nguong!$F$4:$F$8,Nguong!$D$4:$D$8),$D173))</f>
        <v/>
      </c>
      <c r="AB173" s="17" t="str">
        <f aca="false">IF($B173="","",IF($Y173="Không đạt",IF($D173=1,"Không đạt ĐK cần – SM/GĐKV xem xét","Xuống Level "&amp;($D173-1)&amp;" (không đạt ĐK cần)"),IF(AND($D173&lt;5,$Z173&lt;&gt;"-",$X173&lt;=$Z173,$N173="Có",$O173="Có"),"Lên Level "&amp;($D173+1),IF($X173&lt;=$AA173,"Giữ Level "&amp;$D173,"Xuống Level "&amp;($D173-1)&amp;" (ngoài ngưỡng giữ)"))))</f>
        <v/>
      </c>
    </row>
    <row r="174" customFormat="false" ht="15" hidden="false" customHeight="false" outlineLevel="0" collapsed="false">
      <c r="A174" s="7"/>
      <c r="B174" s="7"/>
      <c r="C174" s="8"/>
      <c r="D174" s="8"/>
      <c r="E174" s="8"/>
      <c r="F174" s="9"/>
      <c r="G174" s="9"/>
      <c r="H174" s="9"/>
      <c r="I174" s="9"/>
      <c r="J174" s="9"/>
      <c r="K174" s="9"/>
      <c r="L174" s="9"/>
      <c r="M174" s="8"/>
      <c r="N174" s="8"/>
      <c r="O174" s="8"/>
      <c r="P174" s="10" t="str">
        <f aca="false">IF($B174="","",IF(AND($C174="Supporter",$E174=4),3,$E174))</f>
        <v/>
      </c>
      <c r="Q174" s="11" t="str">
        <f aca="false">IF($B174="","",IF($G174&gt;0,$H174/$G174,0))</f>
        <v/>
      </c>
      <c r="R174" s="12" t="str">
        <f aca="false">IF($B174="","",IF($G174&gt;0,$I174/$G174,0))</f>
        <v/>
      </c>
      <c r="S174" s="13" t="str">
        <f aca="false">IF($B174="","",IF($W174&lt;=1,100,COUNTIFS($C$5:$C$204,$C174,$P$5:$P$204,$P174,$F$5:$F$204,"&lt;"&amp;$F174)/($W174-1)*100))</f>
        <v/>
      </c>
      <c r="T174" s="13" t="str">
        <f aca="false">IF($B174="","",IF($C174="Supporter","-",IF($W174&lt;=1,100,COUNTIFS($C$5:$C$204,$C174,$P$5:$P$204,$P174,$Q$5:$Q$204,"&lt;"&amp;$Q174)/($W174-1)*100)))</f>
        <v/>
      </c>
      <c r="U174" s="14" t="str">
        <f aca="false">IF($B174="","",IF($C174="Supporter",$S174,0.85*$S174+0.15*$T174))</f>
        <v/>
      </c>
      <c r="V174" s="10" t="str">
        <f aca="false">IF($B174="","",COUNTIFS($C$5:$C$204,$C174,$P$5:$P$204,$P174,$U$5:$U$204,"&gt;"&amp;$U174)+1)</f>
        <v/>
      </c>
      <c r="W174" s="10" t="str">
        <f aca="false">IF($B174="","",COUNTIFS($C$5:$C$204,$C174,$P$5:$P$204,$P174))</f>
        <v/>
      </c>
      <c r="X174" s="15" t="str">
        <f aca="false">IF($B174="","",$V174/$W174)</f>
        <v/>
      </c>
      <c r="Y174" s="10" t="str">
        <f aca="false">IF($B174="","",IF(AND($M174="Có",$J174&lt;=Nguong!$B$16,$K174&lt;=Nguong!$B$17,$L174&lt;=Nguong!$B$18,$R174&lt;=INDEX(Nguong!$B$4:$B$8,$D174)),"Đạt","Không đạt"))</f>
        <v/>
      </c>
      <c r="Z174" s="16" t="str">
        <f aca="false">IF($B174="","",IF($D174&gt;=5,"-",INDEX(IF($C174="Supporter",Nguong!$E$4:$E$8,Nguong!$C$4:$C$8),$D174+1)))</f>
        <v/>
      </c>
      <c r="AA174" s="16" t="str">
        <f aca="false">IF($B174="","",INDEX(IF($C174="Supporter",Nguong!$F$4:$F$8,Nguong!$D$4:$D$8),$D174))</f>
        <v/>
      </c>
      <c r="AB174" s="17" t="str">
        <f aca="false">IF($B174="","",IF($Y174="Không đạt",IF($D174=1,"Không đạt ĐK cần – SM/GĐKV xem xét","Xuống Level "&amp;($D174-1)&amp;" (không đạt ĐK cần)"),IF(AND($D174&lt;5,$Z174&lt;&gt;"-",$X174&lt;=$Z174,$N174="Có",$O174="Có"),"Lên Level "&amp;($D174+1),IF($X174&lt;=$AA174,"Giữ Level "&amp;$D174,"Xuống Level "&amp;($D174-1)&amp;" (ngoài ngưỡng giữ)"))))</f>
        <v/>
      </c>
    </row>
    <row r="175" customFormat="false" ht="15" hidden="false" customHeight="false" outlineLevel="0" collapsed="false">
      <c r="A175" s="7"/>
      <c r="B175" s="7"/>
      <c r="C175" s="8"/>
      <c r="D175" s="8"/>
      <c r="E175" s="8"/>
      <c r="F175" s="9"/>
      <c r="G175" s="9"/>
      <c r="H175" s="9"/>
      <c r="I175" s="9"/>
      <c r="J175" s="9"/>
      <c r="K175" s="9"/>
      <c r="L175" s="9"/>
      <c r="M175" s="8"/>
      <c r="N175" s="8"/>
      <c r="O175" s="8"/>
      <c r="P175" s="10" t="str">
        <f aca="false">IF($B175="","",IF(AND($C175="Supporter",$E175=4),3,$E175))</f>
        <v/>
      </c>
      <c r="Q175" s="11" t="str">
        <f aca="false">IF($B175="","",IF($G175&gt;0,$H175/$G175,0))</f>
        <v/>
      </c>
      <c r="R175" s="12" t="str">
        <f aca="false">IF($B175="","",IF($G175&gt;0,$I175/$G175,0))</f>
        <v/>
      </c>
      <c r="S175" s="13" t="str">
        <f aca="false">IF($B175="","",IF($W175&lt;=1,100,COUNTIFS($C$5:$C$204,$C175,$P$5:$P$204,$P175,$F$5:$F$204,"&lt;"&amp;$F175)/($W175-1)*100))</f>
        <v/>
      </c>
      <c r="T175" s="13" t="str">
        <f aca="false">IF($B175="","",IF($C175="Supporter","-",IF($W175&lt;=1,100,COUNTIFS($C$5:$C$204,$C175,$P$5:$P$204,$P175,$Q$5:$Q$204,"&lt;"&amp;$Q175)/($W175-1)*100)))</f>
        <v/>
      </c>
      <c r="U175" s="14" t="str">
        <f aca="false">IF($B175="","",IF($C175="Supporter",$S175,0.85*$S175+0.15*$T175))</f>
        <v/>
      </c>
      <c r="V175" s="10" t="str">
        <f aca="false">IF($B175="","",COUNTIFS($C$5:$C$204,$C175,$P$5:$P$204,$P175,$U$5:$U$204,"&gt;"&amp;$U175)+1)</f>
        <v/>
      </c>
      <c r="W175" s="10" t="str">
        <f aca="false">IF($B175="","",COUNTIFS($C$5:$C$204,$C175,$P$5:$P$204,$P175))</f>
        <v/>
      </c>
      <c r="X175" s="15" t="str">
        <f aca="false">IF($B175="","",$V175/$W175)</f>
        <v/>
      </c>
      <c r="Y175" s="10" t="str">
        <f aca="false">IF($B175="","",IF(AND($M175="Có",$J175&lt;=Nguong!$B$16,$K175&lt;=Nguong!$B$17,$L175&lt;=Nguong!$B$18,$R175&lt;=INDEX(Nguong!$B$4:$B$8,$D175)),"Đạt","Không đạt"))</f>
        <v/>
      </c>
      <c r="Z175" s="16" t="str">
        <f aca="false">IF($B175="","",IF($D175&gt;=5,"-",INDEX(IF($C175="Supporter",Nguong!$E$4:$E$8,Nguong!$C$4:$C$8),$D175+1)))</f>
        <v/>
      </c>
      <c r="AA175" s="16" t="str">
        <f aca="false">IF($B175="","",INDEX(IF($C175="Supporter",Nguong!$F$4:$F$8,Nguong!$D$4:$D$8),$D175))</f>
        <v/>
      </c>
      <c r="AB175" s="17" t="str">
        <f aca="false">IF($B175="","",IF($Y175="Không đạt",IF($D175=1,"Không đạt ĐK cần – SM/GĐKV xem xét","Xuống Level "&amp;($D175-1)&amp;" (không đạt ĐK cần)"),IF(AND($D175&lt;5,$Z175&lt;&gt;"-",$X175&lt;=$Z175,$N175="Có",$O175="Có"),"Lên Level "&amp;($D175+1),IF($X175&lt;=$AA175,"Giữ Level "&amp;$D175,"Xuống Level "&amp;($D175-1)&amp;" (ngoài ngưỡng giữ)"))))</f>
        <v/>
      </c>
    </row>
    <row r="176" customFormat="false" ht="15" hidden="false" customHeight="false" outlineLevel="0" collapsed="false">
      <c r="A176" s="7"/>
      <c r="B176" s="7"/>
      <c r="C176" s="8"/>
      <c r="D176" s="8"/>
      <c r="E176" s="8"/>
      <c r="F176" s="9"/>
      <c r="G176" s="9"/>
      <c r="H176" s="9"/>
      <c r="I176" s="9"/>
      <c r="J176" s="9"/>
      <c r="K176" s="9"/>
      <c r="L176" s="9"/>
      <c r="M176" s="8"/>
      <c r="N176" s="8"/>
      <c r="O176" s="8"/>
      <c r="P176" s="10" t="str">
        <f aca="false">IF($B176="","",IF(AND($C176="Supporter",$E176=4),3,$E176))</f>
        <v/>
      </c>
      <c r="Q176" s="11" t="str">
        <f aca="false">IF($B176="","",IF($G176&gt;0,$H176/$G176,0))</f>
        <v/>
      </c>
      <c r="R176" s="12" t="str">
        <f aca="false">IF($B176="","",IF($G176&gt;0,$I176/$G176,0))</f>
        <v/>
      </c>
      <c r="S176" s="13" t="str">
        <f aca="false">IF($B176="","",IF($W176&lt;=1,100,COUNTIFS($C$5:$C$204,$C176,$P$5:$P$204,$P176,$F$5:$F$204,"&lt;"&amp;$F176)/($W176-1)*100))</f>
        <v/>
      </c>
      <c r="T176" s="13" t="str">
        <f aca="false">IF($B176="","",IF($C176="Supporter","-",IF($W176&lt;=1,100,COUNTIFS($C$5:$C$204,$C176,$P$5:$P$204,$P176,$Q$5:$Q$204,"&lt;"&amp;$Q176)/($W176-1)*100)))</f>
        <v/>
      </c>
      <c r="U176" s="14" t="str">
        <f aca="false">IF($B176="","",IF($C176="Supporter",$S176,0.85*$S176+0.15*$T176))</f>
        <v/>
      </c>
      <c r="V176" s="10" t="str">
        <f aca="false">IF($B176="","",COUNTIFS($C$5:$C$204,$C176,$P$5:$P$204,$P176,$U$5:$U$204,"&gt;"&amp;$U176)+1)</f>
        <v/>
      </c>
      <c r="W176" s="10" t="str">
        <f aca="false">IF($B176="","",COUNTIFS($C$5:$C$204,$C176,$P$5:$P$204,$P176))</f>
        <v/>
      </c>
      <c r="X176" s="15" t="str">
        <f aca="false">IF($B176="","",$V176/$W176)</f>
        <v/>
      </c>
      <c r="Y176" s="10" t="str">
        <f aca="false">IF($B176="","",IF(AND($M176="Có",$J176&lt;=Nguong!$B$16,$K176&lt;=Nguong!$B$17,$L176&lt;=Nguong!$B$18,$R176&lt;=INDEX(Nguong!$B$4:$B$8,$D176)),"Đạt","Không đạt"))</f>
        <v/>
      </c>
      <c r="Z176" s="16" t="str">
        <f aca="false">IF($B176="","",IF($D176&gt;=5,"-",INDEX(IF($C176="Supporter",Nguong!$E$4:$E$8,Nguong!$C$4:$C$8),$D176+1)))</f>
        <v/>
      </c>
      <c r="AA176" s="16" t="str">
        <f aca="false">IF($B176="","",INDEX(IF($C176="Supporter",Nguong!$F$4:$F$8,Nguong!$D$4:$D$8),$D176))</f>
        <v/>
      </c>
      <c r="AB176" s="17" t="str">
        <f aca="false">IF($B176="","",IF($Y176="Không đạt",IF($D176=1,"Không đạt ĐK cần – SM/GĐKV xem xét","Xuống Level "&amp;($D176-1)&amp;" (không đạt ĐK cần)"),IF(AND($D176&lt;5,$Z176&lt;&gt;"-",$X176&lt;=$Z176,$N176="Có",$O176="Có"),"Lên Level "&amp;($D176+1),IF($X176&lt;=$AA176,"Giữ Level "&amp;$D176,"Xuống Level "&amp;($D176-1)&amp;" (ngoài ngưỡng giữ)"))))</f>
        <v/>
      </c>
    </row>
    <row r="177" customFormat="false" ht="15" hidden="false" customHeight="false" outlineLevel="0" collapsed="false">
      <c r="A177" s="7"/>
      <c r="B177" s="7"/>
      <c r="C177" s="8"/>
      <c r="D177" s="8"/>
      <c r="E177" s="8"/>
      <c r="F177" s="9"/>
      <c r="G177" s="9"/>
      <c r="H177" s="9"/>
      <c r="I177" s="9"/>
      <c r="J177" s="9"/>
      <c r="K177" s="9"/>
      <c r="L177" s="9"/>
      <c r="M177" s="8"/>
      <c r="N177" s="8"/>
      <c r="O177" s="8"/>
      <c r="P177" s="10" t="str">
        <f aca="false">IF($B177="","",IF(AND($C177="Supporter",$E177=4),3,$E177))</f>
        <v/>
      </c>
      <c r="Q177" s="11" t="str">
        <f aca="false">IF($B177="","",IF($G177&gt;0,$H177/$G177,0))</f>
        <v/>
      </c>
      <c r="R177" s="12" t="str">
        <f aca="false">IF($B177="","",IF($G177&gt;0,$I177/$G177,0))</f>
        <v/>
      </c>
      <c r="S177" s="13" t="str">
        <f aca="false">IF($B177="","",IF($W177&lt;=1,100,COUNTIFS($C$5:$C$204,$C177,$P$5:$P$204,$P177,$F$5:$F$204,"&lt;"&amp;$F177)/($W177-1)*100))</f>
        <v/>
      </c>
      <c r="T177" s="13" t="str">
        <f aca="false">IF($B177="","",IF($C177="Supporter","-",IF($W177&lt;=1,100,COUNTIFS($C$5:$C$204,$C177,$P$5:$P$204,$P177,$Q$5:$Q$204,"&lt;"&amp;$Q177)/($W177-1)*100)))</f>
        <v/>
      </c>
      <c r="U177" s="14" t="str">
        <f aca="false">IF($B177="","",IF($C177="Supporter",$S177,0.85*$S177+0.15*$T177))</f>
        <v/>
      </c>
      <c r="V177" s="10" t="str">
        <f aca="false">IF($B177="","",COUNTIFS($C$5:$C$204,$C177,$P$5:$P$204,$P177,$U$5:$U$204,"&gt;"&amp;$U177)+1)</f>
        <v/>
      </c>
      <c r="W177" s="10" t="str">
        <f aca="false">IF($B177="","",COUNTIFS($C$5:$C$204,$C177,$P$5:$P$204,$P177))</f>
        <v/>
      </c>
      <c r="X177" s="15" t="str">
        <f aca="false">IF($B177="","",$V177/$W177)</f>
        <v/>
      </c>
      <c r="Y177" s="10" t="str">
        <f aca="false">IF($B177="","",IF(AND($M177="Có",$J177&lt;=Nguong!$B$16,$K177&lt;=Nguong!$B$17,$L177&lt;=Nguong!$B$18,$R177&lt;=INDEX(Nguong!$B$4:$B$8,$D177)),"Đạt","Không đạt"))</f>
        <v/>
      </c>
      <c r="Z177" s="16" t="str">
        <f aca="false">IF($B177="","",IF($D177&gt;=5,"-",INDEX(IF($C177="Supporter",Nguong!$E$4:$E$8,Nguong!$C$4:$C$8),$D177+1)))</f>
        <v/>
      </c>
      <c r="AA177" s="16" t="str">
        <f aca="false">IF($B177="","",INDEX(IF($C177="Supporter",Nguong!$F$4:$F$8,Nguong!$D$4:$D$8),$D177))</f>
        <v/>
      </c>
      <c r="AB177" s="17" t="str">
        <f aca="false">IF($B177="","",IF($Y177="Không đạt",IF($D177=1,"Không đạt ĐK cần – SM/GĐKV xem xét","Xuống Level "&amp;($D177-1)&amp;" (không đạt ĐK cần)"),IF(AND($D177&lt;5,$Z177&lt;&gt;"-",$X177&lt;=$Z177,$N177="Có",$O177="Có"),"Lên Level "&amp;($D177+1),IF($X177&lt;=$AA177,"Giữ Level "&amp;$D177,"Xuống Level "&amp;($D177-1)&amp;" (ngoài ngưỡng giữ)"))))</f>
        <v/>
      </c>
    </row>
    <row r="178" customFormat="false" ht="15" hidden="false" customHeight="false" outlineLevel="0" collapsed="false">
      <c r="A178" s="7"/>
      <c r="B178" s="7"/>
      <c r="C178" s="8"/>
      <c r="D178" s="8"/>
      <c r="E178" s="8"/>
      <c r="F178" s="9"/>
      <c r="G178" s="9"/>
      <c r="H178" s="9"/>
      <c r="I178" s="9"/>
      <c r="J178" s="9"/>
      <c r="K178" s="9"/>
      <c r="L178" s="9"/>
      <c r="M178" s="8"/>
      <c r="N178" s="8"/>
      <c r="O178" s="8"/>
      <c r="P178" s="10" t="str">
        <f aca="false">IF($B178="","",IF(AND($C178="Supporter",$E178=4),3,$E178))</f>
        <v/>
      </c>
      <c r="Q178" s="11" t="str">
        <f aca="false">IF($B178="","",IF($G178&gt;0,$H178/$G178,0))</f>
        <v/>
      </c>
      <c r="R178" s="12" t="str">
        <f aca="false">IF($B178="","",IF($G178&gt;0,$I178/$G178,0))</f>
        <v/>
      </c>
      <c r="S178" s="13" t="str">
        <f aca="false">IF($B178="","",IF($W178&lt;=1,100,COUNTIFS($C$5:$C$204,$C178,$P$5:$P$204,$P178,$F$5:$F$204,"&lt;"&amp;$F178)/($W178-1)*100))</f>
        <v/>
      </c>
      <c r="T178" s="13" t="str">
        <f aca="false">IF($B178="","",IF($C178="Supporter","-",IF($W178&lt;=1,100,COUNTIFS($C$5:$C$204,$C178,$P$5:$P$204,$P178,$Q$5:$Q$204,"&lt;"&amp;$Q178)/($W178-1)*100)))</f>
        <v/>
      </c>
      <c r="U178" s="14" t="str">
        <f aca="false">IF($B178="","",IF($C178="Supporter",$S178,0.85*$S178+0.15*$T178))</f>
        <v/>
      </c>
      <c r="V178" s="10" t="str">
        <f aca="false">IF($B178="","",COUNTIFS($C$5:$C$204,$C178,$P$5:$P$204,$P178,$U$5:$U$204,"&gt;"&amp;$U178)+1)</f>
        <v/>
      </c>
      <c r="W178" s="10" t="str">
        <f aca="false">IF($B178="","",COUNTIFS($C$5:$C$204,$C178,$P$5:$P$204,$P178))</f>
        <v/>
      </c>
      <c r="X178" s="15" t="str">
        <f aca="false">IF($B178="","",$V178/$W178)</f>
        <v/>
      </c>
      <c r="Y178" s="10" t="str">
        <f aca="false">IF($B178="","",IF(AND($M178="Có",$J178&lt;=Nguong!$B$16,$K178&lt;=Nguong!$B$17,$L178&lt;=Nguong!$B$18,$R178&lt;=INDEX(Nguong!$B$4:$B$8,$D178)),"Đạt","Không đạt"))</f>
        <v/>
      </c>
      <c r="Z178" s="16" t="str">
        <f aca="false">IF($B178="","",IF($D178&gt;=5,"-",INDEX(IF($C178="Supporter",Nguong!$E$4:$E$8,Nguong!$C$4:$C$8),$D178+1)))</f>
        <v/>
      </c>
      <c r="AA178" s="16" t="str">
        <f aca="false">IF($B178="","",INDEX(IF($C178="Supporter",Nguong!$F$4:$F$8,Nguong!$D$4:$D$8),$D178))</f>
        <v/>
      </c>
      <c r="AB178" s="17" t="str">
        <f aca="false">IF($B178="","",IF($Y178="Không đạt",IF($D178=1,"Không đạt ĐK cần – SM/GĐKV xem xét","Xuống Level "&amp;($D178-1)&amp;" (không đạt ĐK cần)"),IF(AND($D178&lt;5,$Z178&lt;&gt;"-",$X178&lt;=$Z178,$N178="Có",$O178="Có"),"Lên Level "&amp;($D178+1),IF($X178&lt;=$AA178,"Giữ Level "&amp;$D178,"Xuống Level "&amp;($D178-1)&amp;" (ngoài ngưỡng giữ)"))))</f>
        <v/>
      </c>
    </row>
    <row r="179" customFormat="false" ht="15" hidden="false" customHeight="false" outlineLevel="0" collapsed="false">
      <c r="A179" s="7"/>
      <c r="B179" s="7"/>
      <c r="C179" s="8"/>
      <c r="D179" s="8"/>
      <c r="E179" s="8"/>
      <c r="F179" s="9"/>
      <c r="G179" s="9"/>
      <c r="H179" s="9"/>
      <c r="I179" s="9"/>
      <c r="J179" s="9"/>
      <c r="K179" s="9"/>
      <c r="L179" s="9"/>
      <c r="M179" s="8"/>
      <c r="N179" s="8"/>
      <c r="O179" s="8"/>
      <c r="P179" s="10" t="str">
        <f aca="false">IF($B179="","",IF(AND($C179="Supporter",$E179=4),3,$E179))</f>
        <v/>
      </c>
      <c r="Q179" s="11" t="str">
        <f aca="false">IF($B179="","",IF($G179&gt;0,$H179/$G179,0))</f>
        <v/>
      </c>
      <c r="R179" s="12" t="str">
        <f aca="false">IF($B179="","",IF($G179&gt;0,$I179/$G179,0))</f>
        <v/>
      </c>
      <c r="S179" s="13" t="str">
        <f aca="false">IF($B179="","",IF($W179&lt;=1,100,COUNTIFS($C$5:$C$204,$C179,$P$5:$P$204,$P179,$F$5:$F$204,"&lt;"&amp;$F179)/($W179-1)*100))</f>
        <v/>
      </c>
      <c r="T179" s="13" t="str">
        <f aca="false">IF($B179="","",IF($C179="Supporter","-",IF($W179&lt;=1,100,COUNTIFS($C$5:$C$204,$C179,$P$5:$P$204,$P179,$Q$5:$Q$204,"&lt;"&amp;$Q179)/($W179-1)*100)))</f>
        <v/>
      </c>
      <c r="U179" s="14" t="str">
        <f aca="false">IF($B179="","",IF($C179="Supporter",$S179,0.85*$S179+0.15*$T179))</f>
        <v/>
      </c>
      <c r="V179" s="10" t="str">
        <f aca="false">IF($B179="","",COUNTIFS($C$5:$C$204,$C179,$P$5:$P$204,$P179,$U$5:$U$204,"&gt;"&amp;$U179)+1)</f>
        <v/>
      </c>
      <c r="W179" s="10" t="str">
        <f aca="false">IF($B179="","",COUNTIFS($C$5:$C$204,$C179,$P$5:$P$204,$P179))</f>
        <v/>
      </c>
      <c r="X179" s="15" t="str">
        <f aca="false">IF($B179="","",$V179/$W179)</f>
        <v/>
      </c>
      <c r="Y179" s="10" t="str">
        <f aca="false">IF($B179="","",IF(AND($M179="Có",$J179&lt;=Nguong!$B$16,$K179&lt;=Nguong!$B$17,$L179&lt;=Nguong!$B$18,$R179&lt;=INDEX(Nguong!$B$4:$B$8,$D179)),"Đạt","Không đạt"))</f>
        <v/>
      </c>
      <c r="Z179" s="16" t="str">
        <f aca="false">IF($B179="","",IF($D179&gt;=5,"-",INDEX(IF($C179="Supporter",Nguong!$E$4:$E$8,Nguong!$C$4:$C$8),$D179+1)))</f>
        <v/>
      </c>
      <c r="AA179" s="16" t="str">
        <f aca="false">IF($B179="","",INDEX(IF($C179="Supporter",Nguong!$F$4:$F$8,Nguong!$D$4:$D$8),$D179))</f>
        <v/>
      </c>
      <c r="AB179" s="17" t="str">
        <f aca="false">IF($B179="","",IF($Y179="Không đạt",IF($D179=1,"Không đạt ĐK cần – SM/GĐKV xem xét","Xuống Level "&amp;($D179-1)&amp;" (không đạt ĐK cần)"),IF(AND($D179&lt;5,$Z179&lt;&gt;"-",$X179&lt;=$Z179,$N179="Có",$O179="Có"),"Lên Level "&amp;($D179+1),IF($X179&lt;=$AA179,"Giữ Level "&amp;$D179,"Xuống Level "&amp;($D179-1)&amp;" (ngoài ngưỡng giữ)"))))</f>
        <v/>
      </c>
    </row>
    <row r="180" customFormat="false" ht="15" hidden="false" customHeight="false" outlineLevel="0" collapsed="false">
      <c r="A180" s="7"/>
      <c r="B180" s="7"/>
      <c r="C180" s="8"/>
      <c r="D180" s="8"/>
      <c r="E180" s="8"/>
      <c r="F180" s="9"/>
      <c r="G180" s="9"/>
      <c r="H180" s="9"/>
      <c r="I180" s="9"/>
      <c r="J180" s="9"/>
      <c r="K180" s="9"/>
      <c r="L180" s="9"/>
      <c r="M180" s="8"/>
      <c r="N180" s="8"/>
      <c r="O180" s="8"/>
      <c r="P180" s="10" t="str">
        <f aca="false">IF($B180="","",IF(AND($C180="Supporter",$E180=4),3,$E180))</f>
        <v/>
      </c>
      <c r="Q180" s="11" t="str">
        <f aca="false">IF($B180="","",IF($G180&gt;0,$H180/$G180,0))</f>
        <v/>
      </c>
      <c r="R180" s="12" t="str">
        <f aca="false">IF($B180="","",IF($G180&gt;0,$I180/$G180,0))</f>
        <v/>
      </c>
      <c r="S180" s="13" t="str">
        <f aca="false">IF($B180="","",IF($W180&lt;=1,100,COUNTIFS($C$5:$C$204,$C180,$P$5:$P$204,$P180,$F$5:$F$204,"&lt;"&amp;$F180)/($W180-1)*100))</f>
        <v/>
      </c>
      <c r="T180" s="13" t="str">
        <f aca="false">IF($B180="","",IF($C180="Supporter","-",IF($W180&lt;=1,100,COUNTIFS($C$5:$C$204,$C180,$P$5:$P$204,$P180,$Q$5:$Q$204,"&lt;"&amp;$Q180)/($W180-1)*100)))</f>
        <v/>
      </c>
      <c r="U180" s="14" t="str">
        <f aca="false">IF($B180="","",IF($C180="Supporter",$S180,0.85*$S180+0.15*$T180))</f>
        <v/>
      </c>
      <c r="V180" s="10" t="str">
        <f aca="false">IF($B180="","",COUNTIFS($C$5:$C$204,$C180,$P$5:$P$204,$P180,$U$5:$U$204,"&gt;"&amp;$U180)+1)</f>
        <v/>
      </c>
      <c r="W180" s="10" t="str">
        <f aca="false">IF($B180="","",COUNTIFS($C$5:$C$204,$C180,$P$5:$P$204,$P180))</f>
        <v/>
      </c>
      <c r="X180" s="15" t="str">
        <f aca="false">IF($B180="","",$V180/$W180)</f>
        <v/>
      </c>
      <c r="Y180" s="10" t="str">
        <f aca="false">IF($B180="","",IF(AND($M180="Có",$J180&lt;=Nguong!$B$16,$K180&lt;=Nguong!$B$17,$L180&lt;=Nguong!$B$18,$R180&lt;=INDEX(Nguong!$B$4:$B$8,$D180)),"Đạt","Không đạt"))</f>
        <v/>
      </c>
      <c r="Z180" s="16" t="str">
        <f aca="false">IF($B180="","",IF($D180&gt;=5,"-",INDEX(IF($C180="Supporter",Nguong!$E$4:$E$8,Nguong!$C$4:$C$8),$D180+1)))</f>
        <v/>
      </c>
      <c r="AA180" s="16" t="str">
        <f aca="false">IF($B180="","",INDEX(IF($C180="Supporter",Nguong!$F$4:$F$8,Nguong!$D$4:$D$8),$D180))</f>
        <v/>
      </c>
      <c r="AB180" s="17" t="str">
        <f aca="false">IF($B180="","",IF($Y180="Không đạt",IF($D180=1,"Không đạt ĐK cần – SM/GĐKV xem xét","Xuống Level "&amp;($D180-1)&amp;" (không đạt ĐK cần)"),IF(AND($D180&lt;5,$Z180&lt;&gt;"-",$X180&lt;=$Z180,$N180="Có",$O180="Có"),"Lên Level "&amp;($D180+1),IF($X180&lt;=$AA180,"Giữ Level "&amp;$D180,"Xuống Level "&amp;($D180-1)&amp;" (ngoài ngưỡng giữ)"))))</f>
        <v/>
      </c>
    </row>
    <row r="181" customFormat="false" ht="15" hidden="false" customHeight="false" outlineLevel="0" collapsed="false">
      <c r="A181" s="7"/>
      <c r="B181" s="7"/>
      <c r="C181" s="8"/>
      <c r="D181" s="8"/>
      <c r="E181" s="8"/>
      <c r="F181" s="9"/>
      <c r="G181" s="9"/>
      <c r="H181" s="9"/>
      <c r="I181" s="9"/>
      <c r="J181" s="9"/>
      <c r="K181" s="9"/>
      <c r="L181" s="9"/>
      <c r="M181" s="8"/>
      <c r="N181" s="8"/>
      <c r="O181" s="8"/>
      <c r="P181" s="10" t="str">
        <f aca="false">IF($B181="","",IF(AND($C181="Supporter",$E181=4),3,$E181))</f>
        <v/>
      </c>
      <c r="Q181" s="11" t="str">
        <f aca="false">IF($B181="","",IF($G181&gt;0,$H181/$G181,0))</f>
        <v/>
      </c>
      <c r="R181" s="12" t="str">
        <f aca="false">IF($B181="","",IF($G181&gt;0,$I181/$G181,0))</f>
        <v/>
      </c>
      <c r="S181" s="13" t="str">
        <f aca="false">IF($B181="","",IF($W181&lt;=1,100,COUNTIFS($C$5:$C$204,$C181,$P$5:$P$204,$P181,$F$5:$F$204,"&lt;"&amp;$F181)/($W181-1)*100))</f>
        <v/>
      </c>
      <c r="T181" s="13" t="str">
        <f aca="false">IF($B181="","",IF($C181="Supporter","-",IF($W181&lt;=1,100,COUNTIFS($C$5:$C$204,$C181,$P$5:$P$204,$P181,$Q$5:$Q$204,"&lt;"&amp;$Q181)/($W181-1)*100)))</f>
        <v/>
      </c>
      <c r="U181" s="14" t="str">
        <f aca="false">IF($B181="","",IF($C181="Supporter",$S181,0.85*$S181+0.15*$T181))</f>
        <v/>
      </c>
      <c r="V181" s="10" t="str">
        <f aca="false">IF($B181="","",COUNTIFS($C$5:$C$204,$C181,$P$5:$P$204,$P181,$U$5:$U$204,"&gt;"&amp;$U181)+1)</f>
        <v/>
      </c>
      <c r="W181" s="10" t="str">
        <f aca="false">IF($B181="","",COUNTIFS($C$5:$C$204,$C181,$P$5:$P$204,$P181))</f>
        <v/>
      </c>
      <c r="X181" s="15" t="str">
        <f aca="false">IF($B181="","",$V181/$W181)</f>
        <v/>
      </c>
      <c r="Y181" s="10" t="str">
        <f aca="false">IF($B181="","",IF(AND($M181="Có",$J181&lt;=Nguong!$B$16,$K181&lt;=Nguong!$B$17,$L181&lt;=Nguong!$B$18,$R181&lt;=INDEX(Nguong!$B$4:$B$8,$D181)),"Đạt","Không đạt"))</f>
        <v/>
      </c>
      <c r="Z181" s="16" t="str">
        <f aca="false">IF($B181="","",IF($D181&gt;=5,"-",INDEX(IF($C181="Supporter",Nguong!$E$4:$E$8,Nguong!$C$4:$C$8),$D181+1)))</f>
        <v/>
      </c>
      <c r="AA181" s="16" t="str">
        <f aca="false">IF($B181="","",INDEX(IF($C181="Supporter",Nguong!$F$4:$F$8,Nguong!$D$4:$D$8),$D181))</f>
        <v/>
      </c>
      <c r="AB181" s="17" t="str">
        <f aca="false">IF($B181="","",IF($Y181="Không đạt",IF($D181=1,"Không đạt ĐK cần – SM/GĐKV xem xét","Xuống Level "&amp;($D181-1)&amp;" (không đạt ĐK cần)"),IF(AND($D181&lt;5,$Z181&lt;&gt;"-",$X181&lt;=$Z181,$N181="Có",$O181="Có"),"Lên Level "&amp;($D181+1),IF($X181&lt;=$AA181,"Giữ Level "&amp;$D181,"Xuống Level "&amp;($D181-1)&amp;" (ngoài ngưỡng giữ)"))))</f>
        <v/>
      </c>
    </row>
    <row r="182" customFormat="false" ht="15" hidden="false" customHeight="false" outlineLevel="0" collapsed="false">
      <c r="A182" s="7"/>
      <c r="B182" s="7"/>
      <c r="C182" s="8"/>
      <c r="D182" s="8"/>
      <c r="E182" s="8"/>
      <c r="F182" s="9"/>
      <c r="G182" s="9"/>
      <c r="H182" s="9"/>
      <c r="I182" s="9"/>
      <c r="J182" s="9"/>
      <c r="K182" s="9"/>
      <c r="L182" s="9"/>
      <c r="M182" s="8"/>
      <c r="N182" s="8"/>
      <c r="O182" s="8"/>
      <c r="P182" s="10" t="str">
        <f aca="false">IF($B182="","",IF(AND($C182="Supporter",$E182=4),3,$E182))</f>
        <v/>
      </c>
      <c r="Q182" s="11" t="str">
        <f aca="false">IF($B182="","",IF($G182&gt;0,$H182/$G182,0))</f>
        <v/>
      </c>
      <c r="R182" s="12" t="str">
        <f aca="false">IF($B182="","",IF($G182&gt;0,$I182/$G182,0))</f>
        <v/>
      </c>
      <c r="S182" s="13" t="str">
        <f aca="false">IF($B182="","",IF($W182&lt;=1,100,COUNTIFS($C$5:$C$204,$C182,$P$5:$P$204,$P182,$F$5:$F$204,"&lt;"&amp;$F182)/($W182-1)*100))</f>
        <v/>
      </c>
      <c r="T182" s="13" t="str">
        <f aca="false">IF($B182="","",IF($C182="Supporter","-",IF($W182&lt;=1,100,COUNTIFS($C$5:$C$204,$C182,$P$5:$P$204,$P182,$Q$5:$Q$204,"&lt;"&amp;$Q182)/($W182-1)*100)))</f>
        <v/>
      </c>
      <c r="U182" s="14" t="str">
        <f aca="false">IF($B182="","",IF($C182="Supporter",$S182,0.85*$S182+0.15*$T182))</f>
        <v/>
      </c>
      <c r="V182" s="10" t="str">
        <f aca="false">IF($B182="","",COUNTIFS($C$5:$C$204,$C182,$P$5:$P$204,$P182,$U$5:$U$204,"&gt;"&amp;$U182)+1)</f>
        <v/>
      </c>
      <c r="W182" s="10" t="str">
        <f aca="false">IF($B182="","",COUNTIFS($C$5:$C$204,$C182,$P$5:$P$204,$P182))</f>
        <v/>
      </c>
      <c r="X182" s="15" t="str">
        <f aca="false">IF($B182="","",$V182/$W182)</f>
        <v/>
      </c>
      <c r="Y182" s="10" t="str">
        <f aca="false">IF($B182="","",IF(AND($M182="Có",$J182&lt;=Nguong!$B$16,$K182&lt;=Nguong!$B$17,$L182&lt;=Nguong!$B$18,$R182&lt;=INDEX(Nguong!$B$4:$B$8,$D182)),"Đạt","Không đạt"))</f>
        <v/>
      </c>
      <c r="Z182" s="16" t="str">
        <f aca="false">IF($B182="","",IF($D182&gt;=5,"-",INDEX(IF($C182="Supporter",Nguong!$E$4:$E$8,Nguong!$C$4:$C$8),$D182+1)))</f>
        <v/>
      </c>
      <c r="AA182" s="16" t="str">
        <f aca="false">IF($B182="","",INDEX(IF($C182="Supporter",Nguong!$F$4:$F$8,Nguong!$D$4:$D$8),$D182))</f>
        <v/>
      </c>
      <c r="AB182" s="17" t="str">
        <f aca="false">IF($B182="","",IF($Y182="Không đạt",IF($D182=1,"Không đạt ĐK cần – SM/GĐKV xem xét","Xuống Level "&amp;($D182-1)&amp;" (không đạt ĐK cần)"),IF(AND($D182&lt;5,$Z182&lt;&gt;"-",$X182&lt;=$Z182,$N182="Có",$O182="Có"),"Lên Level "&amp;($D182+1),IF($X182&lt;=$AA182,"Giữ Level "&amp;$D182,"Xuống Level "&amp;($D182-1)&amp;" (ngoài ngưỡng giữ)"))))</f>
        <v/>
      </c>
    </row>
    <row r="183" customFormat="false" ht="15" hidden="false" customHeight="false" outlineLevel="0" collapsed="false">
      <c r="A183" s="7"/>
      <c r="B183" s="7"/>
      <c r="C183" s="8"/>
      <c r="D183" s="8"/>
      <c r="E183" s="8"/>
      <c r="F183" s="9"/>
      <c r="G183" s="9"/>
      <c r="H183" s="9"/>
      <c r="I183" s="9"/>
      <c r="J183" s="9"/>
      <c r="K183" s="9"/>
      <c r="L183" s="9"/>
      <c r="M183" s="8"/>
      <c r="N183" s="8"/>
      <c r="O183" s="8"/>
      <c r="P183" s="10" t="str">
        <f aca="false">IF($B183="","",IF(AND($C183="Supporter",$E183=4),3,$E183))</f>
        <v/>
      </c>
      <c r="Q183" s="11" t="str">
        <f aca="false">IF($B183="","",IF($G183&gt;0,$H183/$G183,0))</f>
        <v/>
      </c>
      <c r="R183" s="12" t="str">
        <f aca="false">IF($B183="","",IF($G183&gt;0,$I183/$G183,0))</f>
        <v/>
      </c>
      <c r="S183" s="13" t="str">
        <f aca="false">IF($B183="","",IF($W183&lt;=1,100,COUNTIFS($C$5:$C$204,$C183,$P$5:$P$204,$P183,$F$5:$F$204,"&lt;"&amp;$F183)/($W183-1)*100))</f>
        <v/>
      </c>
      <c r="T183" s="13" t="str">
        <f aca="false">IF($B183="","",IF($C183="Supporter","-",IF($W183&lt;=1,100,COUNTIFS($C$5:$C$204,$C183,$P$5:$P$204,$P183,$Q$5:$Q$204,"&lt;"&amp;$Q183)/($W183-1)*100)))</f>
        <v/>
      </c>
      <c r="U183" s="14" t="str">
        <f aca="false">IF($B183="","",IF($C183="Supporter",$S183,0.85*$S183+0.15*$T183))</f>
        <v/>
      </c>
      <c r="V183" s="10" t="str">
        <f aca="false">IF($B183="","",COUNTIFS($C$5:$C$204,$C183,$P$5:$P$204,$P183,$U$5:$U$204,"&gt;"&amp;$U183)+1)</f>
        <v/>
      </c>
      <c r="W183" s="10" t="str">
        <f aca="false">IF($B183="","",COUNTIFS($C$5:$C$204,$C183,$P$5:$P$204,$P183))</f>
        <v/>
      </c>
      <c r="X183" s="15" t="str">
        <f aca="false">IF($B183="","",$V183/$W183)</f>
        <v/>
      </c>
      <c r="Y183" s="10" t="str">
        <f aca="false">IF($B183="","",IF(AND($M183="Có",$J183&lt;=Nguong!$B$16,$K183&lt;=Nguong!$B$17,$L183&lt;=Nguong!$B$18,$R183&lt;=INDEX(Nguong!$B$4:$B$8,$D183)),"Đạt","Không đạt"))</f>
        <v/>
      </c>
      <c r="Z183" s="16" t="str">
        <f aca="false">IF($B183="","",IF($D183&gt;=5,"-",INDEX(IF($C183="Supporter",Nguong!$E$4:$E$8,Nguong!$C$4:$C$8),$D183+1)))</f>
        <v/>
      </c>
      <c r="AA183" s="16" t="str">
        <f aca="false">IF($B183="","",INDEX(IF($C183="Supporter",Nguong!$F$4:$F$8,Nguong!$D$4:$D$8),$D183))</f>
        <v/>
      </c>
      <c r="AB183" s="17" t="str">
        <f aca="false">IF($B183="","",IF($Y183="Không đạt",IF($D183=1,"Không đạt ĐK cần – SM/GĐKV xem xét","Xuống Level "&amp;($D183-1)&amp;" (không đạt ĐK cần)"),IF(AND($D183&lt;5,$Z183&lt;&gt;"-",$X183&lt;=$Z183,$N183="Có",$O183="Có"),"Lên Level "&amp;($D183+1),IF($X183&lt;=$AA183,"Giữ Level "&amp;$D183,"Xuống Level "&amp;($D183-1)&amp;" (ngoài ngưỡng giữ)"))))</f>
        <v/>
      </c>
    </row>
    <row r="184" customFormat="false" ht="15" hidden="false" customHeight="false" outlineLevel="0" collapsed="false">
      <c r="A184" s="7"/>
      <c r="B184" s="7"/>
      <c r="C184" s="8"/>
      <c r="D184" s="8"/>
      <c r="E184" s="8"/>
      <c r="F184" s="9"/>
      <c r="G184" s="9"/>
      <c r="H184" s="9"/>
      <c r="I184" s="9"/>
      <c r="J184" s="9"/>
      <c r="K184" s="9"/>
      <c r="L184" s="9"/>
      <c r="M184" s="8"/>
      <c r="N184" s="8"/>
      <c r="O184" s="8"/>
      <c r="P184" s="10" t="str">
        <f aca="false">IF($B184="","",IF(AND($C184="Supporter",$E184=4),3,$E184))</f>
        <v/>
      </c>
      <c r="Q184" s="11" t="str">
        <f aca="false">IF($B184="","",IF($G184&gt;0,$H184/$G184,0))</f>
        <v/>
      </c>
      <c r="R184" s="12" t="str">
        <f aca="false">IF($B184="","",IF($G184&gt;0,$I184/$G184,0))</f>
        <v/>
      </c>
      <c r="S184" s="13" t="str">
        <f aca="false">IF($B184="","",IF($W184&lt;=1,100,COUNTIFS($C$5:$C$204,$C184,$P$5:$P$204,$P184,$F$5:$F$204,"&lt;"&amp;$F184)/($W184-1)*100))</f>
        <v/>
      </c>
      <c r="T184" s="13" t="str">
        <f aca="false">IF($B184="","",IF($C184="Supporter","-",IF($W184&lt;=1,100,COUNTIFS($C$5:$C$204,$C184,$P$5:$P$204,$P184,$Q$5:$Q$204,"&lt;"&amp;$Q184)/($W184-1)*100)))</f>
        <v/>
      </c>
      <c r="U184" s="14" t="str">
        <f aca="false">IF($B184="","",IF($C184="Supporter",$S184,0.85*$S184+0.15*$T184))</f>
        <v/>
      </c>
      <c r="V184" s="10" t="str">
        <f aca="false">IF($B184="","",COUNTIFS($C$5:$C$204,$C184,$P$5:$P$204,$P184,$U$5:$U$204,"&gt;"&amp;$U184)+1)</f>
        <v/>
      </c>
      <c r="W184" s="10" t="str">
        <f aca="false">IF($B184="","",COUNTIFS($C$5:$C$204,$C184,$P$5:$P$204,$P184))</f>
        <v/>
      </c>
      <c r="X184" s="15" t="str">
        <f aca="false">IF($B184="","",$V184/$W184)</f>
        <v/>
      </c>
      <c r="Y184" s="10" t="str">
        <f aca="false">IF($B184="","",IF(AND($M184="Có",$J184&lt;=Nguong!$B$16,$K184&lt;=Nguong!$B$17,$L184&lt;=Nguong!$B$18,$R184&lt;=INDEX(Nguong!$B$4:$B$8,$D184)),"Đạt","Không đạt"))</f>
        <v/>
      </c>
      <c r="Z184" s="16" t="str">
        <f aca="false">IF($B184="","",IF($D184&gt;=5,"-",INDEX(IF($C184="Supporter",Nguong!$E$4:$E$8,Nguong!$C$4:$C$8),$D184+1)))</f>
        <v/>
      </c>
      <c r="AA184" s="16" t="str">
        <f aca="false">IF($B184="","",INDEX(IF($C184="Supporter",Nguong!$F$4:$F$8,Nguong!$D$4:$D$8),$D184))</f>
        <v/>
      </c>
      <c r="AB184" s="17" t="str">
        <f aca="false">IF($B184="","",IF($Y184="Không đạt",IF($D184=1,"Không đạt ĐK cần – SM/GĐKV xem xét","Xuống Level "&amp;($D184-1)&amp;" (không đạt ĐK cần)"),IF(AND($D184&lt;5,$Z184&lt;&gt;"-",$X184&lt;=$Z184,$N184="Có",$O184="Có"),"Lên Level "&amp;($D184+1),IF($X184&lt;=$AA184,"Giữ Level "&amp;$D184,"Xuống Level "&amp;($D184-1)&amp;" (ngoài ngưỡng giữ)"))))</f>
        <v/>
      </c>
    </row>
    <row r="185" customFormat="false" ht="15" hidden="false" customHeight="false" outlineLevel="0" collapsed="false">
      <c r="A185" s="7"/>
      <c r="B185" s="7"/>
      <c r="C185" s="8"/>
      <c r="D185" s="8"/>
      <c r="E185" s="8"/>
      <c r="F185" s="9"/>
      <c r="G185" s="9"/>
      <c r="H185" s="9"/>
      <c r="I185" s="9"/>
      <c r="J185" s="9"/>
      <c r="K185" s="9"/>
      <c r="L185" s="9"/>
      <c r="M185" s="8"/>
      <c r="N185" s="8"/>
      <c r="O185" s="8"/>
      <c r="P185" s="10" t="str">
        <f aca="false">IF($B185="","",IF(AND($C185="Supporter",$E185=4),3,$E185))</f>
        <v/>
      </c>
      <c r="Q185" s="11" t="str">
        <f aca="false">IF($B185="","",IF($G185&gt;0,$H185/$G185,0))</f>
        <v/>
      </c>
      <c r="R185" s="12" t="str">
        <f aca="false">IF($B185="","",IF($G185&gt;0,$I185/$G185,0))</f>
        <v/>
      </c>
      <c r="S185" s="13" t="str">
        <f aca="false">IF($B185="","",IF($W185&lt;=1,100,COUNTIFS($C$5:$C$204,$C185,$P$5:$P$204,$P185,$F$5:$F$204,"&lt;"&amp;$F185)/($W185-1)*100))</f>
        <v/>
      </c>
      <c r="T185" s="13" t="str">
        <f aca="false">IF($B185="","",IF($C185="Supporter","-",IF($W185&lt;=1,100,COUNTIFS($C$5:$C$204,$C185,$P$5:$P$204,$P185,$Q$5:$Q$204,"&lt;"&amp;$Q185)/($W185-1)*100)))</f>
        <v/>
      </c>
      <c r="U185" s="14" t="str">
        <f aca="false">IF($B185="","",IF($C185="Supporter",$S185,0.85*$S185+0.15*$T185))</f>
        <v/>
      </c>
      <c r="V185" s="10" t="str">
        <f aca="false">IF($B185="","",COUNTIFS($C$5:$C$204,$C185,$P$5:$P$204,$P185,$U$5:$U$204,"&gt;"&amp;$U185)+1)</f>
        <v/>
      </c>
      <c r="W185" s="10" t="str">
        <f aca="false">IF($B185="","",COUNTIFS($C$5:$C$204,$C185,$P$5:$P$204,$P185))</f>
        <v/>
      </c>
      <c r="X185" s="15" t="str">
        <f aca="false">IF($B185="","",$V185/$W185)</f>
        <v/>
      </c>
      <c r="Y185" s="10" t="str">
        <f aca="false">IF($B185="","",IF(AND($M185="Có",$J185&lt;=Nguong!$B$16,$K185&lt;=Nguong!$B$17,$L185&lt;=Nguong!$B$18,$R185&lt;=INDEX(Nguong!$B$4:$B$8,$D185)),"Đạt","Không đạt"))</f>
        <v/>
      </c>
      <c r="Z185" s="16" t="str">
        <f aca="false">IF($B185="","",IF($D185&gt;=5,"-",INDEX(IF($C185="Supporter",Nguong!$E$4:$E$8,Nguong!$C$4:$C$8),$D185+1)))</f>
        <v/>
      </c>
      <c r="AA185" s="16" t="str">
        <f aca="false">IF($B185="","",INDEX(IF($C185="Supporter",Nguong!$F$4:$F$8,Nguong!$D$4:$D$8),$D185))</f>
        <v/>
      </c>
      <c r="AB185" s="17" t="str">
        <f aca="false">IF($B185="","",IF($Y185="Không đạt",IF($D185=1,"Không đạt ĐK cần – SM/GĐKV xem xét","Xuống Level "&amp;($D185-1)&amp;" (không đạt ĐK cần)"),IF(AND($D185&lt;5,$Z185&lt;&gt;"-",$X185&lt;=$Z185,$N185="Có",$O185="Có"),"Lên Level "&amp;($D185+1),IF($X185&lt;=$AA185,"Giữ Level "&amp;$D185,"Xuống Level "&amp;($D185-1)&amp;" (ngoài ngưỡng giữ)"))))</f>
        <v/>
      </c>
    </row>
    <row r="186" customFormat="false" ht="15" hidden="false" customHeight="false" outlineLevel="0" collapsed="false">
      <c r="A186" s="7"/>
      <c r="B186" s="7"/>
      <c r="C186" s="8"/>
      <c r="D186" s="8"/>
      <c r="E186" s="8"/>
      <c r="F186" s="9"/>
      <c r="G186" s="9"/>
      <c r="H186" s="9"/>
      <c r="I186" s="9"/>
      <c r="J186" s="9"/>
      <c r="K186" s="9"/>
      <c r="L186" s="9"/>
      <c r="M186" s="8"/>
      <c r="N186" s="8"/>
      <c r="O186" s="8"/>
      <c r="P186" s="10" t="str">
        <f aca="false">IF($B186="","",IF(AND($C186="Supporter",$E186=4),3,$E186))</f>
        <v/>
      </c>
      <c r="Q186" s="11" t="str">
        <f aca="false">IF($B186="","",IF($G186&gt;0,$H186/$G186,0))</f>
        <v/>
      </c>
      <c r="R186" s="12" t="str">
        <f aca="false">IF($B186="","",IF($G186&gt;0,$I186/$G186,0))</f>
        <v/>
      </c>
      <c r="S186" s="13" t="str">
        <f aca="false">IF($B186="","",IF($W186&lt;=1,100,COUNTIFS($C$5:$C$204,$C186,$P$5:$P$204,$P186,$F$5:$F$204,"&lt;"&amp;$F186)/($W186-1)*100))</f>
        <v/>
      </c>
      <c r="T186" s="13" t="str">
        <f aca="false">IF($B186="","",IF($C186="Supporter","-",IF($W186&lt;=1,100,COUNTIFS($C$5:$C$204,$C186,$P$5:$P$204,$P186,$Q$5:$Q$204,"&lt;"&amp;$Q186)/($W186-1)*100)))</f>
        <v/>
      </c>
      <c r="U186" s="14" t="str">
        <f aca="false">IF($B186="","",IF($C186="Supporter",$S186,0.85*$S186+0.15*$T186))</f>
        <v/>
      </c>
      <c r="V186" s="10" t="str">
        <f aca="false">IF($B186="","",COUNTIFS($C$5:$C$204,$C186,$P$5:$P$204,$P186,$U$5:$U$204,"&gt;"&amp;$U186)+1)</f>
        <v/>
      </c>
      <c r="W186" s="10" t="str">
        <f aca="false">IF($B186="","",COUNTIFS($C$5:$C$204,$C186,$P$5:$P$204,$P186))</f>
        <v/>
      </c>
      <c r="X186" s="15" t="str">
        <f aca="false">IF($B186="","",$V186/$W186)</f>
        <v/>
      </c>
      <c r="Y186" s="10" t="str">
        <f aca="false">IF($B186="","",IF(AND($M186="Có",$J186&lt;=Nguong!$B$16,$K186&lt;=Nguong!$B$17,$L186&lt;=Nguong!$B$18,$R186&lt;=INDEX(Nguong!$B$4:$B$8,$D186)),"Đạt","Không đạt"))</f>
        <v/>
      </c>
      <c r="Z186" s="16" t="str">
        <f aca="false">IF($B186="","",IF($D186&gt;=5,"-",INDEX(IF($C186="Supporter",Nguong!$E$4:$E$8,Nguong!$C$4:$C$8),$D186+1)))</f>
        <v/>
      </c>
      <c r="AA186" s="16" t="str">
        <f aca="false">IF($B186="","",INDEX(IF($C186="Supporter",Nguong!$F$4:$F$8,Nguong!$D$4:$D$8),$D186))</f>
        <v/>
      </c>
      <c r="AB186" s="17" t="str">
        <f aca="false">IF($B186="","",IF($Y186="Không đạt",IF($D186=1,"Không đạt ĐK cần – SM/GĐKV xem xét","Xuống Level "&amp;($D186-1)&amp;" (không đạt ĐK cần)"),IF(AND($D186&lt;5,$Z186&lt;&gt;"-",$X186&lt;=$Z186,$N186="Có",$O186="Có"),"Lên Level "&amp;($D186+1),IF($X186&lt;=$AA186,"Giữ Level "&amp;$D186,"Xuống Level "&amp;($D186-1)&amp;" (ngoài ngưỡng giữ)"))))</f>
        <v/>
      </c>
    </row>
    <row r="187" customFormat="false" ht="15" hidden="false" customHeight="false" outlineLevel="0" collapsed="false">
      <c r="A187" s="7"/>
      <c r="B187" s="7"/>
      <c r="C187" s="8"/>
      <c r="D187" s="8"/>
      <c r="E187" s="8"/>
      <c r="F187" s="9"/>
      <c r="G187" s="9"/>
      <c r="H187" s="9"/>
      <c r="I187" s="9"/>
      <c r="J187" s="9"/>
      <c r="K187" s="9"/>
      <c r="L187" s="9"/>
      <c r="M187" s="8"/>
      <c r="N187" s="8"/>
      <c r="O187" s="8"/>
      <c r="P187" s="10" t="str">
        <f aca="false">IF($B187="","",IF(AND($C187="Supporter",$E187=4),3,$E187))</f>
        <v/>
      </c>
      <c r="Q187" s="11" t="str">
        <f aca="false">IF($B187="","",IF($G187&gt;0,$H187/$G187,0))</f>
        <v/>
      </c>
      <c r="R187" s="12" t="str">
        <f aca="false">IF($B187="","",IF($G187&gt;0,$I187/$G187,0))</f>
        <v/>
      </c>
      <c r="S187" s="13" t="str">
        <f aca="false">IF($B187="","",IF($W187&lt;=1,100,COUNTIFS($C$5:$C$204,$C187,$P$5:$P$204,$P187,$F$5:$F$204,"&lt;"&amp;$F187)/($W187-1)*100))</f>
        <v/>
      </c>
      <c r="T187" s="13" t="str">
        <f aca="false">IF($B187="","",IF($C187="Supporter","-",IF($W187&lt;=1,100,COUNTIFS($C$5:$C$204,$C187,$P$5:$P$204,$P187,$Q$5:$Q$204,"&lt;"&amp;$Q187)/($W187-1)*100)))</f>
        <v/>
      </c>
      <c r="U187" s="14" t="str">
        <f aca="false">IF($B187="","",IF($C187="Supporter",$S187,0.85*$S187+0.15*$T187))</f>
        <v/>
      </c>
      <c r="V187" s="10" t="str">
        <f aca="false">IF($B187="","",COUNTIFS($C$5:$C$204,$C187,$P$5:$P$204,$P187,$U$5:$U$204,"&gt;"&amp;$U187)+1)</f>
        <v/>
      </c>
      <c r="W187" s="10" t="str">
        <f aca="false">IF($B187="","",COUNTIFS($C$5:$C$204,$C187,$P$5:$P$204,$P187))</f>
        <v/>
      </c>
      <c r="X187" s="15" t="str">
        <f aca="false">IF($B187="","",$V187/$W187)</f>
        <v/>
      </c>
      <c r="Y187" s="10" t="str">
        <f aca="false">IF($B187="","",IF(AND($M187="Có",$J187&lt;=Nguong!$B$16,$K187&lt;=Nguong!$B$17,$L187&lt;=Nguong!$B$18,$R187&lt;=INDEX(Nguong!$B$4:$B$8,$D187)),"Đạt","Không đạt"))</f>
        <v/>
      </c>
      <c r="Z187" s="16" t="str">
        <f aca="false">IF($B187="","",IF($D187&gt;=5,"-",INDEX(IF($C187="Supporter",Nguong!$E$4:$E$8,Nguong!$C$4:$C$8),$D187+1)))</f>
        <v/>
      </c>
      <c r="AA187" s="16" t="str">
        <f aca="false">IF($B187="","",INDEX(IF($C187="Supporter",Nguong!$F$4:$F$8,Nguong!$D$4:$D$8),$D187))</f>
        <v/>
      </c>
      <c r="AB187" s="17" t="str">
        <f aca="false">IF($B187="","",IF($Y187="Không đạt",IF($D187=1,"Không đạt ĐK cần – SM/GĐKV xem xét","Xuống Level "&amp;($D187-1)&amp;" (không đạt ĐK cần)"),IF(AND($D187&lt;5,$Z187&lt;&gt;"-",$X187&lt;=$Z187,$N187="Có",$O187="Có"),"Lên Level "&amp;($D187+1),IF($X187&lt;=$AA187,"Giữ Level "&amp;$D187,"Xuống Level "&amp;($D187-1)&amp;" (ngoài ngưỡng giữ)"))))</f>
        <v/>
      </c>
    </row>
    <row r="188" customFormat="false" ht="15" hidden="false" customHeight="false" outlineLevel="0" collapsed="false">
      <c r="A188" s="7"/>
      <c r="B188" s="7"/>
      <c r="C188" s="8"/>
      <c r="D188" s="8"/>
      <c r="E188" s="8"/>
      <c r="F188" s="9"/>
      <c r="G188" s="9"/>
      <c r="H188" s="9"/>
      <c r="I188" s="9"/>
      <c r="J188" s="9"/>
      <c r="K188" s="9"/>
      <c r="L188" s="9"/>
      <c r="M188" s="8"/>
      <c r="N188" s="8"/>
      <c r="O188" s="8"/>
      <c r="P188" s="10" t="str">
        <f aca="false">IF($B188="","",IF(AND($C188="Supporter",$E188=4),3,$E188))</f>
        <v/>
      </c>
      <c r="Q188" s="11" t="str">
        <f aca="false">IF($B188="","",IF($G188&gt;0,$H188/$G188,0))</f>
        <v/>
      </c>
      <c r="R188" s="12" t="str">
        <f aca="false">IF($B188="","",IF($G188&gt;0,$I188/$G188,0))</f>
        <v/>
      </c>
      <c r="S188" s="13" t="str">
        <f aca="false">IF($B188="","",IF($W188&lt;=1,100,COUNTIFS($C$5:$C$204,$C188,$P$5:$P$204,$P188,$F$5:$F$204,"&lt;"&amp;$F188)/($W188-1)*100))</f>
        <v/>
      </c>
      <c r="T188" s="13" t="str">
        <f aca="false">IF($B188="","",IF($C188="Supporter","-",IF($W188&lt;=1,100,COUNTIFS($C$5:$C$204,$C188,$P$5:$P$204,$P188,$Q$5:$Q$204,"&lt;"&amp;$Q188)/($W188-1)*100)))</f>
        <v/>
      </c>
      <c r="U188" s="14" t="str">
        <f aca="false">IF($B188="","",IF($C188="Supporter",$S188,0.85*$S188+0.15*$T188))</f>
        <v/>
      </c>
      <c r="V188" s="10" t="str">
        <f aca="false">IF($B188="","",COUNTIFS($C$5:$C$204,$C188,$P$5:$P$204,$P188,$U$5:$U$204,"&gt;"&amp;$U188)+1)</f>
        <v/>
      </c>
      <c r="W188" s="10" t="str">
        <f aca="false">IF($B188="","",COUNTIFS($C$5:$C$204,$C188,$P$5:$P$204,$P188))</f>
        <v/>
      </c>
      <c r="X188" s="15" t="str">
        <f aca="false">IF($B188="","",$V188/$W188)</f>
        <v/>
      </c>
      <c r="Y188" s="10" t="str">
        <f aca="false">IF($B188="","",IF(AND($M188="Có",$J188&lt;=Nguong!$B$16,$K188&lt;=Nguong!$B$17,$L188&lt;=Nguong!$B$18,$R188&lt;=INDEX(Nguong!$B$4:$B$8,$D188)),"Đạt","Không đạt"))</f>
        <v/>
      </c>
      <c r="Z188" s="16" t="str">
        <f aca="false">IF($B188="","",IF($D188&gt;=5,"-",INDEX(IF($C188="Supporter",Nguong!$E$4:$E$8,Nguong!$C$4:$C$8),$D188+1)))</f>
        <v/>
      </c>
      <c r="AA188" s="16" t="str">
        <f aca="false">IF($B188="","",INDEX(IF($C188="Supporter",Nguong!$F$4:$F$8,Nguong!$D$4:$D$8),$D188))</f>
        <v/>
      </c>
      <c r="AB188" s="17" t="str">
        <f aca="false">IF($B188="","",IF($Y188="Không đạt",IF($D188=1,"Không đạt ĐK cần – SM/GĐKV xem xét","Xuống Level "&amp;($D188-1)&amp;" (không đạt ĐK cần)"),IF(AND($D188&lt;5,$Z188&lt;&gt;"-",$X188&lt;=$Z188,$N188="Có",$O188="Có"),"Lên Level "&amp;($D188+1),IF($X188&lt;=$AA188,"Giữ Level "&amp;$D188,"Xuống Level "&amp;($D188-1)&amp;" (ngoài ngưỡng giữ)"))))</f>
        <v/>
      </c>
    </row>
    <row r="189" customFormat="false" ht="15" hidden="false" customHeight="false" outlineLevel="0" collapsed="false">
      <c r="A189" s="7"/>
      <c r="B189" s="7"/>
      <c r="C189" s="8"/>
      <c r="D189" s="8"/>
      <c r="E189" s="8"/>
      <c r="F189" s="9"/>
      <c r="G189" s="9"/>
      <c r="H189" s="9"/>
      <c r="I189" s="9"/>
      <c r="J189" s="9"/>
      <c r="K189" s="9"/>
      <c r="L189" s="9"/>
      <c r="M189" s="8"/>
      <c r="N189" s="8"/>
      <c r="O189" s="8"/>
      <c r="P189" s="10" t="str">
        <f aca="false">IF($B189="","",IF(AND($C189="Supporter",$E189=4),3,$E189))</f>
        <v/>
      </c>
      <c r="Q189" s="11" t="str">
        <f aca="false">IF($B189="","",IF($G189&gt;0,$H189/$G189,0))</f>
        <v/>
      </c>
      <c r="R189" s="12" t="str">
        <f aca="false">IF($B189="","",IF($G189&gt;0,$I189/$G189,0))</f>
        <v/>
      </c>
      <c r="S189" s="13" t="str">
        <f aca="false">IF($B189="","",IF($W189&lt;=1,100,COUNTIFS($C$5:$C$204,$C189,$P$5:$P$204,$P189,$F$5:$F$204,"&lt;"&amp;$F189)/($W189-1)*100))</f>
        <v/>
      </c>
      <c r="T189" s="13" t="str">
        <f aca="false">IF($B189="","",IF($C189="Supporter","-",IF($W189&lt;=1,100,COUNTIFS($C$5:$C$204,$C189,$P$5:$P$204,$P189,$Q$5:$Q$204,"&lt;"&amp;$Q189)/($W189-1)*100)))</f>
        <v/>
      </c>
      <c r="U189" s="14" t="str">
        <f aca="false">IF($B189="","",IF($C189="Supporter",$S189,0.85*$S189+0.15*$T189))</f>
        <v/>
      </c>
      <c r="V189" s="10" t="str">
        <f aca="false">IF($B189="","",COUNTIFS($C$5:$C$204,$C189,$P$5:$P$204,$P189,$U$5:$U$204,"&gt;"&amp;$U189)+1)</f>
        <v/>
      </c>
      <c r="W189" s="10" t="str">
        <f aca="false">IF($B189="","",COUNTIFS($C$5:$C$204,$C189,$P$5:$P$204,$P189))</f>
        <v/>
      </c>
      <c r="X189" s="15" t="str">
        <f aca="false">IF($B189="","",$V189/$W189)</f>
        <v/>
      </c>
      <c r="Y189" s="10" t="str">
        <f aca="false">IF($B189="","",IF(AND($M189="Có",$J189&lt;=Nguong!$B$16,$K189&lt;=Nguong!$B$17,$L189&lt;=Nguong!$B$18,$R189&lt;=INDEX(Nguong!$B$4:$B$8,$D189)),"Đạt","Không đạt"))</f>
        <v/>
      </c>
      <c r="Z189" s="16" t="str">
        <f aca="false">IF($B189="","",IF($D189&gt;=5,"-",INDEX(IF($C189="Supporter",Nguong!$E$4:$E$8,Nguong!$C$4:$C$8),$D189+1)))</f>
        <v/>
      </c>
      <c r="AA189" s="16" t="str">
        <f aca="false">IF($B189="","",INDEX(IF($C189="Supporter",Nguong!$F$4:$F$8,Nguong!$D$4:$D$8),$D189))</f>
        <v/>
      </c>
      <c r="AB189" s="17" t="str">
        <f aca="false">IF($B189="","",IF($Y189="Không đạt",IF($D189=1,"Không đạt ĐK cần – SM/GĐKV xem xét","Xuống Level "&amp;($D189-1)&amp;" (không đạt ĐK cần)"),IF(AND($D189&lt;5,$Z189&lt;&gt;"-",$X189&lt;=$Z189,$N189="Có",$O189="Có"),"Lên Level "&amp;($D189+1),IF($X189&lt;=$AA189,"Giữ Level "&amp;$D189,"Xuống Level "&amp;($D189-1)&amp;" (ngoài ngưỡng giữ)"))))</f>
        <v/>
      </c>
    </row>
    <row r="190" customFormat="false" ht="15" hidden="false" customHeight="false" outlineLevel="0" collapsed="false">
      <c r="A190" s="7"/>
      <c r="B190" s="7"/>
      <c r="C190" s="8"/>
      <c r="D190" s="8"/>
      <c r="E190" s="8"/>
      <c r="F190" s="9"/>
      <c r="G190" s="9"/>
      <c r="H190" s="9"/>
      <c r="I190" s="9"/>
      <c r="J190" s="9"/>
      <c r="K190" s="9"/>
      <c r="L190" s="9"/>
      <c r="M190" s="8"/>
      <c r="N190" s="8"/>
      <c r="O190" s="8"/>
      <c r="P190" s="10" t="str">
        <f aca="false">IF($B190="","",IF(AND($C190="Supporter",$E190=4),3,$E190))</f>
        <v/>
      </c>
      <c r="Q190" s="11" t="str">
        <f aca="false">IF($B190="","",IF($G190&gt;0,$H190/$G190,0))</f>
        <v/>
      </c>
      <c r="R190" s="12" t="str">
        <f aca="false">IF($B190="","",IF($G190&gt;0,$I190/$G190,0))</f>
        <v/>
      </c>
      <c r="S190" s="13" t="str">
        <f aca="false">IF($B190="","",IF($W190&lt;=1,100,COUNTIFS($C$5:$C$204,$C190,$P$5:$P$204,$P190,$F$5:$F$204,"&lt;"&amp;$F190)/($W190-1)*100))</f>
        <v/>
      </c>
      <c r="T190" s="13" t="str">
        <f aca="false">IF($B190="","",IF($C190="Supporter","-",IF($W190&lt;=1,100,COUNTIFS($C$5:$C$204,$C190,$P$5:$P$204,$P190,$Q$5:$Q$204,"&lt;"&amp;$Q190)/($W190-1)*100)))</f>
        <v/>
      </c>
      <c r="U190" s="14" t="str">
        <f aca="false">IF($B190="","",IF($C190="Supporter",$S190,0.85*$S190+0.15*$T190))</f>
        <v/>
      </c>
      <c r="V190" s="10" t="str">
        <f aca="false">IF($B190="","",COUNTIFS($C$5:$C$204,$C190,$P$5:$P$204,$P190,$U$5:$U$204,"&gt;"&amp;$U190)+1)</f>
        <v/>
      </c>
      <c r="W190" s="10" t="str">
        <f aca="false">IF($B190="","",COUNTIFS($C$5:$C$204,$C190,$P$5:$P$204,$P190))</f>
        <v/>
      </c>
      <c r="X190" s="15" t="str">
        <f aca="false">IF($B190="","",$V190/$W190)</f>
        <v/>
      </c>
      <c r="Y190" s="10" t="str">
        <f aca="false">IF($B190="","",IF(AND($M190="Có",$J190&lt;=Nguong!$B$16,$K190&lt;=Nguong!$B$17,$L190&lt;=Nguong!$B$18,$R190&lt;=INDEX(Nguong!$B$4:$B$8,$D190)),"Đạt","Không đạt"))</f>
        <v/>
      </c>
      <c r="Z190" s="16" t="str">
        <f aca="false">IF($B190="","",IF($D190&gt;=5,"-",INDEX(IF($C190="Supporter",Nguong!$E$4:$E$8,Nguong!$C$4:$C$8),$D190+1)))</f>
        <v/>
      </c>
      <c r="AA190" s="16" t="str">
        <f aca="false">IF($B190="","",INDEX(IF($C190="Supporter",Nguong!$F$4:$F$8,Nguong!$D$4:$D$8),$D190))</f>
        <v/>
      </c>
      <c r="AB190" s="17" t="str">
        <f aca="false">IF($B190="","",IF($Y190="Không đạt",IF($D190=1,"Không đạt ĐK cần – SM/GĐKV xem xét","Xuống Level "&amp;($D190-1)&amp;" (không đạt ĐK cần)"),IF(AND($D190&lt;5,$Z190&lt;&gt;"-",$X190&lt;=$Z190,$N190="Có",$O190="Có"),"Lên Level "&amp;($D190+1),IF($X190&lt;=$AA190,"Giữ Level "&amp;$D190,"Xuống Level "&amp;($D190-1)&amp;" (ngoài ngưỡng giữ)"))))</f>
        <v/>
      </c>
    </row>
    <row r="191" customFormat="false" ht="15" hidden="false" customHeight="false" outlineLevel="0" collapsed="false">
      <c r="A191" s="7"/>
      <c r="B191" s="7"/>
      <c r="C191" s="8"/>
      <c r="D191" s="8"/>
      <c r="E191" s="8"/>
      <c r="F191" s="9"/>
      <c r="G191" s="9"/>
      <c r="H191" s="9"/>
      <c r="I191" s="9"/>
      <c r="J191" s="9"/>
      <c r="K191" s="9"/>
      <c r="L191" s="9"/>
      <c r="M191" s="8"/>
      <c r="N191" s="8"/>
      <c r="O191" s="8"/>
      <c r="P191" s="10" t="str">
        <f aca="false">IF($B191="","",IF(AND($C191="Supporter",$E191=4),3,$E191))</f>
        <v/>
      </c>
      <c r="Q191" s="11" t="str">
        <f aca="false">IF($B191="","",IF($G191&gt;0,$H191/$G191,0))</f>
        <v/>
      </c>
      <c r="R191" s="12" t="str">
        <f aca="false">IF($B191="","",IF($G191&gt;0,$I191/$G191,0))</f>
        <v/>
      </c>
      <c r="S191" s="13" t="str">
        <f aca="false">IF($B191="","",IF($W191&lt;=1,100,COUNTIFS($C$5:$C$204,$C191,$P$5:$P$204,$P191,$F$5:$F$204,"&lt;"&amp;$F191)/($W191-1)*100))</f>
        <v/>
      </c>
      <c r="T191" s="13" t="str">
        <f aca="false">IF($B191="","",IF($C191="Supporter","-",IF($W191&lt;=1,100,COUNTIFS($C$5:$C$204,$C191,$P$5:$P$204,$P191,$Q$5:$Q$204,"&lt;"&amp;$Q191)/($W191-1)*100)))</f>
        <v/>
      </c>
      <c r="U191" s="14" t="str">
        <f aca="false">IF($B191="","",IF($C191="Supporter",$S191,0.85*$S191+0.15*$T191))</f>
        <v/>
      </c>
      <c r="V191" s="10" t="str">
        <f aca="false">IF($B191="","",COUNTIFS($C$5:$C$204,$C191,$P$5:$P$204,$P191,$U$5:$U$204,"&gt;"&amp;$U191)+1)</f>
        <v/>
      </c>
      <c r="W191" s="10" t="str">
        <f aca="false">IF($B191="","",COUNTIFS($C$5:$C$204,$C191,$P$5:$P$204,$P191))</f>
        <v/>
      </c>
      <c r="X191" s="15" t="str">
        <f aca="false">IF($B191="","",$V191/$W191)</f>
        <v/>
      </c>
      <c r="Y191" s="10" t="str">
        <f aca="false">IF($B191="","",IF(AND($M191="Có",$J191&lt;=Nguong!$B$16,$K191&lt;=Nguong!$B$17,$L191&lt;=Nguong!$B$18,$R191&lt;=INDEX(Nguong!$B$4:$B$8,$D191)),"Đạt","Không đạt"))</f>
        <v/>
      </c>
      <c r="Z191" s="16" t="str">
        <f aca="false">IF($B191="","",IF($D191&gt;=5,"-",INDEX(IF($C191="Supporter",Nguong!$E$4:$E$8,Nguong!$C$4:$C$8),$D191+1)))</f>
        <v/>
      </c>
      <c r="AA191" s="16" t="str">
        <f aca="false">IF($B191="","",INDEX(IF($C191="Supporter",Nguong!$F$4:$F$8,Nguong!$D$4:$D$8),$D191))</f>
        <v/>
      </c>
      <c r="AB191" s="17" t="str">
        <f aca="false">IF($B191="","",IF($Y191="Không đạt",IF($D191=1,"Không đạt ĐK cần – SM/GĐKV xem xét","Xuống Level "&amp;($D191-1)&amp;" (không đạt ĐK cần)"),IF(AND($D191&lt;5,$Z191&lt;&gt;"-",$X191&lt;=$Z191,$N191="Có",$O191="Có"),"Lên Level "&amp;($D191+1),IF($X191&lt;=$AA191,"Giữ Level "&amp;$D191,"Xuống Level "&amp;($D191-1)&amp;" (ngoài ngưỡng giữ)"))))</f>
        <v/>
      </c>
    </row>
    <row r="192" customFormat="false" ht="15" hidden="false" customHeight="false" outlineLevel="0" collapsed="false">
      <c r="A192" s="7"/>
      <c r="B192" s="7"/>
      <c r="C192" s="8"/>
      <c r="D192" s="8"/>
      <c r="E192" s="8"/>
      <c r="F192" s="9"/>
      <c r="G192" s="9"/>
      <c r="H192" s="9"/>
      <c r="I192" s="9"/>
      <c r="J192" s="9"/>
      <c r="K192" s="9"/>
      <c r="L192" s="9"/>
      <c r="M192" s="8"/>
      <c r="N192" s="8"/>
      <c r="O192" s="8"/>
      <c r="P192" s="10" t="str">
        <f aca="false">IF($B192="","",IF(AND($C192="Supporter",$E192=4),3,$E192))</f>
        <v/>
      </c>
      <c r="Q192" s="11" t="str">
        <f aca="false">IF($B192="","",IF($G192&gt;0,$H192/$G192,0))</f>
        <v/>
      </c>
      <c r="R192" s="12" t="str">
        <f aca="false">IF($B192="","",IF($G192&gt;0,$I192/$G192,0))</f>
        <v/>
      </c>
      <c r="S192" s="13" t="str">
        <f aca="false">IF($B192="","",IF($W192&lt;=1,100,COUNTIFS($C$5:$C$204,$C192,$P$5:$P$204,$P192,$F$5:$F$204,"&lt;"&amp;$F192)/($W192-1)*100))</f>
        <v/>
      </c>
      <c r="T192" s="13" t="str">
        <f aca="false">IF($B192="","",IF($C192="Supporter","-",IF($W192&lt;=1,100,COUNTIFS($C$5:$C$204,$C192,$P$5:$P$204,$P192,$Q$5:$Q$204,"&lt;"&amp;$Q192)/($W192-1)*100)))</f>
        <v/>
      </c>
      <c r="U192" s="14" t="str">
        <f aca="false">IF($B192="","",IF($C192="Supporter",$S192,0.85*$S192+0.15*$T192))</f>
        <v/>
      </c>
      <c r="V192" s="10" t="str">
        <f aca="false">IF($B192="","",COUNTIFS($C$5:$C$204,$C192,$P$5:$P$204,$P192,$U$5:$U$204,"&gt;"&amp;$U192)+1)</f>
        <v/>
      </c>
      <c r="W192" s="10" t="str">
        <f aca="false">IF($B192="","",COUNTIFS($C$5:$C$204,$C192,$P$5:$P$204,$P192))</f>
        <v/>
      </c>
      <c r="X192" s="15" t="str">
        <f aca="false">IF($B192="","",$V192/$W192)</f>
        <v/>
      </c>
      <c r="Y192" s="10" t="str">
        <f aca="false">IF($B192="","",IF(AND($M192="Có",$J192&lt;=Nguong!$B$16,$K192&lt;=Nguong!$B$17,$L192&lt;=Nguong!$B$18,$R192&lt;=INDEX(Nguong!$B$4:$B$8,$D192)),"Đạt","Không đạt"))</f>
        <v/>
      </c>
      <c r="Z192" s="16" t="str">
        <f aca="false">IF($B192="","",IF($D192&gt;=5,"-",INDEX(IF($C192="Supporter",Nguong!$E$4:$E$8,Nguong!$C$4:$C$8),$D192+1)))</f>
        <v/>
      </c>
      <c r="AA192" s="16" t="str">
        <f aca="false">IF($B192="","",INDEX(IF($C192="Supporter",Nguong!$F$4:$F$8,Nguong!$D$4:$D$8),$D192))</f>
        <v/>
      </c>
      <c r="AB192" s="17" t="str">
        <f aca="false">IF($B192="","",IF($Y192="Không đạt",IF($D192=1,"Không đạt ĐK cần – SM/GĐKV xem xét","Xuống Level "&amp;($D192-1)&amp;" (không đạt ĐK cần)"),IF(AND($D192&lt;5,$Z192&lt;&gt;"-",$X192&lt;=$Z192,$N192="Có",$O192="Có"),"Lên Level "&amp;($D192+1),IF($X192&lt;=$AA192,"Giữ Level "&amp;$D192,"Xuống Level "&amp;($D192-1)&amp;" (ngoài ngưỡng giữ)"))))</f>
        <v/>
      </c>
    </row>
    <row r="193" customFormat="false" ht="15" hidden="false" customHeight="false" outlineLevel="0" collapsed="false">
      <c r="A193" s="7"/>
      <c r="B193" s="7"/>
      <c r="C193" s="8"/>
      <c r="D193" s="8"/>
      <c r="E193" s="8"/>
      <c r="F193" s="9"/>
      <c r="G193" s="9"/>
      <c r="H193" s="9"/>
      <c r="I193" s="9"/>
      <c r="J193" s="9"/>
      <c r="K193" s="9"/>
      <c r="L193" s="9"/>
      <c r="M193" s="8"/>
      <c r="N193" s="8"/>
      <c r="O193" s="8"/>
      <c r="P193" s="10" t="str">
        <f aca="false">IF($B193="","",IF(AND($C193="Supporter",$E193=4),3,$E193))</f>
        <v/>
      </c>
      <c r="Q193" s="11" t="str">
        <f aca="false">IF($B193="","",IF($G193&gt;0,$H193/$G193,0))</f>
        <v/>
      </c>
      <c r="R193" s="12" t="str">
        <f aca="false">IF($B193="","",IF($G193&gt;0,$I193/$G193,0))</f>
        <v/>
      </c>
      <c r="S193" s="13" t="str">
        <f aca="false">IF($B193="","",IF($W193&lt;=1,100,COUNTIFS($C$5:$C$204,$C193,$P$5:$P$204,$P193,$F$5:$F$204,"&lt;"&amp;$F193)/($W193-1)*100))</f>
        <v/>
      </c>
      <c r="T193" s="13" t="str">
        <f aca="false">IF($B193="","",IF($C193="Supporter","-",IF($W193&lt;=1,100,COUNTIFS($C$5:$C$204,$C193,$P$5:$P$204,$P193,$Q$5:$Q$204,"&lt;"&amp;$Q193)/($W193-1)*100)))</f>
        <v/>
      </c>
      <c r="U193" s="14" t="str">
        <f aca="false">IF($B193="","",IF($C193="Supporter",$S193,0.85*$S193+0.15*$T193))</f>
        <v/>
      </c>
      <c r="V193" s="10" t="str">
        <f aca="false">IF($B193="","",COUNTIFS($C$5:$C$204,$C193,$P$5:$P$204,$P193,$U$5:$U$204,"&gt;"&amp;$U193)+1)</f>
        <v/>
      </c>
      <c r="W193" s="10" t="str">
        <f aca="false">IF($B193="","",COUNTIFS($C$5:$C$204,$C193,$P$5:$P$204,$P193))</f>
        <v/>
      </c>
      <c r="X193" s="15" t="str">
        <f aca="false">IF($B193="","",$V193/$W193)</f>
        <v/>
      </c>
      <c r="Y193" s="10" t="str">
        <f aca="false">IF($B193="","",IF(AND($M193="Có",$J193&lt;=Nguong!$B$16,$K193&lt;=Nguong!$B$17,$L193&lt;=Nguong!$B$18,$R193&lt;=INDEX(Nguong!$B$4:$B$8,$D193)),"Đạt","Không đạt"))</f>
        <v/>
      </c>
      <c r="Z193" s="16" t="str">
        <f aca="false">IF($B193="","",IF($D193&gt;=5,"-",INDEX(IF($C193="Supporter",Nguong!$E$4:$E$8,Nguong!$C$4:$C$8),$D193+1)))</f>
        <v/>
      </c>
      <c r="AA193" s="16" t="str">
        <f aca="false">IF($B193="","",INDEX(IF($C193="Supporter",Nguong!$F$4:$F$8,Nguong!$D$4:$D$8),$D193))</f>
        <v/>
      </c>
      <c r="AB193" s="17" t="str">
        <f aca="false">IF($B193="","",IF($Y193="Không đạt",IF($D193=1,"Không đạt ĐK cần – SM/GĐKV xem xét","Xuống Level "&amp;($D193-1)&amp;" (không đạt ĐK cần)"),IF(AND($D193&lt;5,$Z193&lt;&gt;"-",$X193&lt;=$Z193,$N193="Có",$O193="Có"),"Lên Level "&amp;($D193+1),IF($X193&lt;=$AA193,"Giữ Level "&amp;$D193,"Xuống Level "&amp;($D193-1)&amp;" (ngoài ngưỡng giữ)"))))</f>
        <v/>
      </c>
    </row>
    <row r="194" customFormat="false" ht="15" hidden="false" customHeight="false" outlineLevel="0" collapsed="false">
      <c r="A194" s="7"/>
      <c r="B194" s="7"/>
      <c r="C194" s="8"/>
      <c r="D194" s="8"/>
      <c r="E194" s="8"/>
      <c r="F194" s="9"/>
      <c r="G194" s="9"/>
      <c r="H194" s="9"/>
      <c r="I194" s="9"/>
      <c r="J194" s="9"/>
      <c r="K194" s="9"/>
      <c r="L194" s="9"/>
      <c r="M194" s="8"/>
      <c r="N194" s="8"/>
      <c r="O194" s="8"/>
      <c r="P194" s="10" t="str">
        <f aca="false">IF($B194="","",IF(AND($C194="Supporter",$E194=4),3,$E194))</f>
        <v/>
      </c>
      <c r="Q194" s="11" t="str">
        <f aca="false">IF($B194="","",IF($G194&gt;0,$H194/$G194,0))</f>
        <v/>
      </c>
      <c r="R194" s="12" t="str">
        <f aca="false">IF($B194="","",IF($G194&gt;0,$I194/$G194,0))</f>
        <v/>
      </c>
      <c r="S194" s="13" t="str">
        <f aca="false">IF($B194="","",IF($W194&lt;=1,100,COUNTIFS($C$5:$C$204,$C194,$P$5:$P$204,$P194,$F$5:$F$204,"&lt;"&amp;$F194)/($W194-1)*100))</f>
        <v/>
      </c>
      <c r="T194" s="13" t="str">
        <f aca="false">IF($B194="","",IF($C194="Supporter","-",IF($W194&lt;=1,100,COUNTIFS($C$5:$C$204,$C194,$P$5:$P$204,$P194,$Q$5:$Q$204,"&lt;"&amp;$Q194)/($W194-1)*100)))</f>
        <v/>
      </c>
      <c r="U194" s="14" t="str">
        <f aca="false">IF($B194="","",IF($C194="Supporter",$S194,0.85*$S194+0.15*$T194))</f>
        <v/>
      </c>
      <c r="V194" s="10" t="str">
        <f aca="false">IF($B194="","",COUNTIFS($C$5:$C$204,$C194,$P$5:$P$204,$P194,$U$5:$U$204,"&gt;"&amp;$U194)+1)</f>
        <v/>
      </c>
      <c r="W194" s="10" t="str">
        <f aca="false">IF($B194="","",COUNTIFS($C$5:$C$204,$C194,$P$5:$P$204,$P194))</f>
        <v/>
      </c>
      <c r="X194" s="15" t="str">
        <f aca="false">IF($B194="","",$V194/$W194)</f>
        <v/>
      </c>
      <c r="Y194" s="10" t="str">
        <f aca="false">IF($B194="","",IF(AND($M194="Có",$J194&lt;=Nguong!$B$16,$K194&lt;=Nguong!$B$17,$L194&lt;=Nguong!$B$18,$R194&lt;=INDEX(Nguong!$B$4:$B$8,$D194)),"Đạt","Không đạt"))</f>
        <v/>
      </c>
      <c r="Z194" s="16" t="str">
        <f aca="false">IF($B194="","",IF($D194&gt;=5,"-",INDEX(IF($C194="Supporter",Nguong!$E$4:$E$8,Nguong!$C$4:$C$8),$D194+1)))</f>
        <v/>
      </c>
      <c r="AA194" s="16" t="str">
        <f aca="false">IF($B194="","",INDEX(IF($C194="Supporter",Nguong!$F$4:$F$8,Nguong!$D$4:$D$8),$D194))</f>
        <v/>
      </c>
      <c r="AB194" s="17" t="str">
        <f aca="false">IF($B194="","",IF($Y194="Không đạt",IF($D194=1,"Không đạt ĐK cần – SM/GĐKV xem xét","Xuống Level "&amp;($D194-1)&amp;" (không đạt ĐK cần)"),IF(AND($D194&lt;5,$Z194&lt;&gt;"-",$X194&lt;=$Z194,$N194="Có",$O194="Có"),"Lên Level "&amp;($D194+1),IF($X194&lt;=$AA194,"Giữ Level "&amp;$D194,"Xuống Level "&amp;($D194-1)&amp;" (ngoài ngưỡng giữ)"))))</f>
        <v/>
      </c>
    </row>
    <row r="195" customFormat="false" ht="15" hidden="false" customHeight="false" outlineLevel="0" collapsed="false">
      <c r="A195" s="7"/>
      <c r="B195" s="7"/>
      <c r="C195" s="8"/>
      <c r="D195" s="8"/>
      <c r="E195" s="8"/>
      <c r="F195" s="9"/>
      <c r="G195" s="9"/>
      <c r="H195" s="9"/>
      <c r="I195" s="9"/>
      <c r="J195" s="9"/>
      <c r="K195" s="9"/>
      <c r="L195" s="9"/>
      <c r="M195" s="8"/>
      <c r="N195" s="8"/>
      <c r="O195" s="8"/>
      <c r="P195" s="10" t="str">
        <f aca="false">IF($B195="","",IF(AND($C195="Supporter",$E195=4),3,$E195))</f>
        <v/>
      </c>
      <c r="Q195" s="11" t="str">
        <f aca="false">IF($B195="","",IF($G195&gt;0,$H195/$G195,0))</f>
        <v/>
      </c>
      <c r="R195" s="12" t="str">
        <f aca="false">IF($B195="","",IF($G195&gt;0,$I195/$G195,0))</f>
        <v/>
      </c>
      <c r="S195" s="13" t="str">
        <f aca="false">IF($B195="","",IF($W195&lt;=1,100,COUNTIFS($C$5:$C$204,$C195,$P$5:$P$204,$P195,$F$5:$F$204,"&lt;"&amp;$F195)/($W195-1)*100))</f>
        <v/>
      </c>
      <c r="T195" s="13" t="str">
        <f aca="false">IF($B195="","",IF($C195="Supporter","-",IF($W195&lt;=1,100,COUNTIFS($C$5:$C$204,$C195,$P$5:$P$204,$P195,$Q$5:$Q$204,"&lt;"&amp;$Q195)/($W195-1)*100)))</f>
        <v/>
      </c>
      <c r="U195" s="14" t="str">
        <f aca="false">IF($B195="","",IF($C195="Supporter",$S195,0.85*$S195+0.15*$T195))</f>
        <v/>
      </c>
      <c r="V195" s="10" t="str">
        <f aca="false">IF($B195="","",COUNTIFS($C$5:$C$204,$C195,$P$5:$P$204,$P195,$U$5:$U$204,"&gt;"&amp;$U195)+1)</f>
        <v/>
      </c>
      <c r="W195" s="10" t="str">
        <f aca="false">IF($B195="","",COUNTIFS($C$5:$C$204,$C195,$P$5:$P$204,$P195))</f>
        <v/>
      </c>
      <c r="X195" s="15" t="str">
        <f aca="false">IF($B195="","",$V195/$W195)</f>
        <v/>
      </c>
      <c r="Y195" s="10" t="str">
        <f aca="false">IF($B195="","",IF(AND($M195="Có",$J195&lt;=Nguong!$B$16,$K195&lt;=Nguong!$B$17,$L195&lt;=Nguong!$B$18,$R195&lt;=INDEX(Nguong!$B$4:$B$8,$D195)),"Đạt","Không đạt"))</f>
        <v/>
      </c>
      <c r="Z195" s="16" t="str">
        <f aca="false">IF($B195="","",IF($D195&gt;=5,"-",INDEX(IF($C195="Supporter",Nguong!$E$4:$E$8,Nguong!$C$4:$C$8),$D195+1)))</f>
        <v/>
      </c>
      <c r="AA195" s="16" t="str">
        <f aca="false">IF($B195="","",INDEX(IF($C195="Supporter",Nguong!$F$4:$F$8,Nguong!$D$4:$D$8),$D195))</f>
        <v/>
      </c>
      <c r="AB195" s="17" t="str">
        <f aca="false">IF($B195="","",IF($Y195="Không đạt",IF($D195=1,"Không đạt ĐK cần – SM/GĐKV xem xét","Xuống Level "&amp;($D195-1)&amp;" (không đạt ĐK cần)"),IF(AND($D195&lt;5,$Z195&lt;&gt;"-",$X195&lt;=$Z195,$N195="Có",$O195="Có"),"Lên Level "&amp;($D195+1),IF($X195&lt;=$AA195,"Giữ Level "&amp;$D195,"Xuống Level "&amp;($D195-1)&amp;" (ngoài ngưỡng giữ)"))))</f>
        <v/>
      </c>
    </row>
    <row r="196" customFormat="false" ht="15" hidden="false" customHeight="false" outlineLevel="0" collapsed="false">
      <c r="A196" s="7"/>
      <c r="B196" s="7"/>
      <c r="C196" s="8"/>
      <c r="D196" s="8"/>
      <c r="E196" s="8"/>
      <c r="F196" s="9"/>
      <c r="G196" s="9"/>
      <c r="H196" s="9"/>
      <c r="I196" s="9"/>
      <c r="J196" s="9"/>
      <c r="K196" s="9"/>
      <c r="L196" s="9"/>
      <c r="M196" s="8"/>
      <c r="N196" s="8"/>
      <c r="O196" s="8"/>
      <c r="P196" s="10" t="str">
        <f aca="false">IF($B196="","",IF(AND($C196="Supporter",$E196=4),3,$E196))</f>
        <v/>
      </c>
      <c r="Q196" s="11" t="str">
        <f aca="false">IF($B196="","",IF($G196&gt;0,$H196/$G196,0))</f>
        <v/>
      </c>
      <c r="R196" s="12" t="str">
        <f aca="false">IF($B196="","",IF($G196&gt;0,$I196/$G196,0))</f>
        <v/>
      </c>
      <c r="S196" s="13" t="str">
        <f aca="false">IF($B196="","",IF($W196&lt;=1,100,COUNTIFS($C$5:$C$204,$C196,$P$5:$P$204,$P196,$F$5:$F$204,"&lt;"&amp;$F196)/($W196-1)*100))</f>
        <v/>
      </c>
      <c r="T196" s="13" t="str">
        <f aca="false">IF($B196="","",IF($C196="Supporter","-",IF($W196&lt;=1,100,COUNTIFS($C$5:$C$204,$C196,$P$5:$P$204,$P196,$Q$5:$Q$204,"&lt;"&amp;$Q196)/($W196-1)*100)))</f>
        <v/>
      </c>
      <c r="U196" s="14" t="str">
        <f aca="false">IF($B196="","",IF($C196="Supporter",$S196,0.85*$S196+0.15*$T196))</f>
        <v/>
      </c>
      <c r="V196" s="10" t="str">
        <f aca="false">IF($B196="","",COUNTIFS($C$5:$C$204,$C196,$P$5:$P$204,$P196,$U$5:$U$204,"&gt;"&amp;$U196)+1)</f>
        <v/>
      </c>
      <c r="W196" s="10" t="str">
        <f aca="false">IF($B196="","",COUNTIFS($C$5:$C$204,$C196,$P$5:$P$204,$P196))</f>
        <v/>
      </c>
      <c r="X196" s="15" t="str">
        <f aca="false">IF($B196="","",$V196/$W196)</f>
        <v/>
      </c>
      <c r="Y196" s="10" t="str">
        <f aca="false">IF($B196="","",IF(AND($M196="Có",$J196&lt;=Nguong!$B$16,$K196&lt;=Nguong!$B$17,$L196&lt;=Nguong!$B$18,$R196&lt;=INDEX(Nguong!$B$4:$B$8,$D196)),"Đạt","Không đạt"))</f>
        <v/>
      </c>
      <c r="Z196" s="16" t="str">
        <f aca="false">IF($B196="","",IF($D196&gt;=5,"-",INDEX(IF($C196="Supporter",Nguong!$E$4:$E$8,Nguong!$C$4:$C$8),$D196+1)))</f>
        <v/>
      </c>
      <c r="AA196" s="16" t="str">
        <f aca="false">IF($B196="","",INDEX(IF($C196="Supporter",Nguong!$F$4:$F$8,Nguong!$D$4:$D$8),$D196))</f>
        <v/>
      </c>
      <c r="AB196" s="17" t="str">
        <f aca="false">IF($B196="","",IF($Y196="Không đạt",IF($D196=1,"Không đạt ĐK cần – SM/GĐKV xem xét","Xuống Level "&amp;($D196-1)&amp;" (không đạt ĐK cần)"),IF(AND($D196&lt;5,$Z196&lt;&gt;"-",$X196&lt;=$Z196,$N196="Có",$O196="Có"),"Lên Level "&amp;($D196+1),IF($X196&lt;=$AA196,"Giữ Level "&amp;$D196,"Xuống Level "&amp;($D196-1)&amp;" (ngoài ngưỡng giữ)"))))</f>
        <v/>
      </c>
    </row>
    <row r="197" customFormat="false" ht="15" hidden="false" customHeight="false" outlineLevel="0" collapsed="false">
      <c r="A197" s="7"/>
      <c r="B197" s="7"/>
      <c r="C197" s="8"/>
      <c r="D197" s="8"/>
      <c r="E197" s="8"/>
      <c r="F197" s="9"/>
      <c r="G197" s="9"/>
      <c r="H197" s="9"/>
      <c r="I197" s="9"/>
      <c r="J197" s="9"/>
      <c r="K197" s="9"/>
      <c r="L197" s="9"/>
      <c r="M197" s="8"/>
      <c r="N197" s="8"/>
      <c r="O197" s="8"/>
      <c r="P197" s="10" t="str">
        <f aca="false">IF($B197="","",IF(AND($C197="Supporter",$E197=4),3,$E197))</f>
        <v/>
      </c>
      <c r="Q197" s="11" t="str">
        <f aca="false">IF($B197="","",IF($G197&gt;0,$H197/$G197,0))</f>
        <v/>
      </c>
      <c r="R197" s="12" t="str">
        <f aca="false">IF($B197="","",IF($G197&gt;0,$I197/$G197,0))</f>
        <v/>
      </c>
      <c r="S197" s="13" t="str">
        <f aca="false">IF($B197="","",IF($W197&lt;=1,100,COUNTIFS($C$5:$C$204,$C197,$P$5:$P$204,$P197,$F$5:$F$204,"&lt;"&amp;$F197)/($W197-1)*100))</f>
        <v/>
      </c>
      <c r="T197" s="13" t="str">
        <f aca="false">IF($B197="","",IF($C197="Supporter","-",IF($W197&lt;=1,100,COUNTIFS($C$5:$C$204,$C197,$P$5:$P$204,$P197,$Q$5:$Q$204,"&lt;"&amp;$Q197)/($W197-1)*100)))</f>
        <v/>
      </c>
      <c r="U197" s="14" t="str">
        <f aca="false">IF($B197="","",IF($C197="Supporter",$S197,0.85*$S197+0.15*$T197))</f>
        <v/>
      </c>
      <c r="V197" s="10" t="str">
        <f aca="false">IF($B197="","",COUNTIFS($C$5:$C$204,$C197,$P$5:$P$204,$P197,$U$5:$U$204,"&gt;"&amp;$U197)+1)</f>
        <v/>
      </c>
      <c r="W197" s="10" t="str">
        <f aca="false">IF($B197="","",COUNTIFS($C$5:$C$204,$C197,$P$5:$P$204,$P197))</f>
        <v/>
      </c>
      <c r="X197" s="15" t="str">
        <f aca="false">IF($B197="","",$V197/$W197)</f>
        <v/>
      </c>
      <c r="Y197" s="10" t="str">
        <f aca="false">IF($B197="","",IF(AND($M197="Có",$J197&lt;=Nguong!$B$16,$K197&lt;=Nguong!$B$17,$L197&lt;=Nguong!$B$18,$R197&lt;=INDEX(Nguong!$B$4:$B$8,$D197)),"Đạt","Không đạt"))</f>
        <v/>
      </c>
      <c r="Z197" s="16" t="str">
        <f aca="false">IF($B197="","",IF($D197&gt;=5,"-",INDEX(IF($C197="Supporter",Nguong!$E$4:$E$8,Nguong!$C$4:$C$8),$D197+1)))</f>
        <v/>
      </c>
      <c r="AA197" s="16" t="str">
        <f aca="false">IF($B197="","",INDEX(IF($C197="Supporter",Nguong!$F$4:$F$8,Nguong!$D$4:$D$8),$D197))</f>
        <v/>
      </c>
      <c r="AB197" s="17" t="str">
        <f aca="false">IF($B197="","",IF($Y197="Không đạt",IF($D197=1,"Không đạt ĐK cần – SM/GĐKV xem xét","Xuống Level "&amp;($D197-1)&amp;" (không đạt ĐK cần)"),IF(AND($D197&lt;5,$Z197&lt;&gt;"-",$X197&lt;=$Z197,$N197="Có",$O197="Có"),"Lên Level "&amp;($D197+1),IF($X197&lt;=$AA197,"Giữ Level "&amp;$D197,"Xuống Level "&amp;($D197-1)&amp;" (ngoài ngưỡng giữ)"))))</f>
        <v/>
      </c>
    </row>
    <row r="198" customFormat="false" ht="15" hidden="false" customHeight="false" outlineLevel="0" collapsed="false">
      <c r="A198" s="7"/>
      <c r="B198" s="7"/>
      <c r="C198" s="8"/>
      <c r="D198" s="8"/>
      <c r="E198" s="8"/>
      <c r="F198" s="9"/>
      <c r="G198" s="9"/>
      <c r="H198" s="9"/>
      <c r="I198" s="9"/>
      <c r="J198" s="9"/>
      <c r="K198" s="9"/>
      <c r="L198" s="9"/>
      <c r="M198" s="8"/>
      <c r="N198" s="8"/>
      <c r="O198" s="8"/>
      <c r="P198" s="10" t="str">
        <f aca="false">IF($B198="","",IF(AND($C198="Supporter",$E198=4),3,$E198))</f>
        <v/>
      </c>
      <c r="Q198" s="11" t="str">
        <f aca="false">IF($B198="","",IF($G198&gt;0,$H198/$G198,0))</f>
        <v/>
      </c>
      <c r="R198" s="12" t="str">
        <f aca="false">IF($B198="","",IF($G198&gt;0,$I198/$G198,0))</f>
        <v/>
      </c>
      <c r="S198" s="13" t="str">
        <f aca="false">IF($B198="","",IF($W198&lt;=1,100,COUNTIFS($C$5:$C$204,$C198,$P$5:$P$204,$P198,$F$5:$F$204,"&lt;"&amp;$F198)/($W198-1)*100))</f>
        <v/>
      </c>
      <c r="T198" s="13" t="str">
        <f aca="false">IF($B198="","",IF($C198="Supporter","-",IF($W198&lt;=1,100,COUNTIFS($C$5:$C$204,$C198,$P$5:$P$204,$P198,$Q$5:$Q$204,"&lt;"&amp;$Q198)/($W198-1)*100)))</f>
        <v/>
      </c>
      <c r="U198" s="14" t="str">
        <f aca="false">IF($B198="","",IF($C198="Supporter",$S198,0.85*$S198+0.15*$T198))</f>
        <v/>
      </c>
      <c r="V198" s="10" t="str">
        <f aca="false">IF($B198="","",COUNTIFS($C$5:$C$204,$C198,$P$5:$P$204,$P198,$U$5:$U$204,"&gt;"&amp;$U198)+1)</f>
        <v/>
      </c>
      <c r="W198" s="10" t="str">
        <f aca="false">IF($B198="","",COUNTIFS($C$5:$C$204,$C198,$P$5:$P$204,$P198))</f>
        <v/>
      </c>
      <c r="X198" s="15" t="str">
        <f aca="false">IF($B198="","",$V198/$W198)</f>
        <v/>
      </c>
      <c r="Y198" s="10" t="str">
        <f aca="false">IF($B198="","",IF(AND($M198="Có",$J198&lt;=Nguong!$B$16,$K198&lt;=Nguong!$B$17,$L198&lt;=Nguong!$B$18,$R198&lt;=INDEX(Nguong!$B$4:$B$8,$D198)),"Đạt","Không đạt"))</f>
        <v/>
      </c>
      <c r="Z198" s="16" t="str">
        <f aca="false">IF($B198="","",IF($D198&gt;=5,"-",INDEX(IF($C198="Supporter",Nguong!$E$4:$E$8,Nguong!$C$4:$C$8),$D198+1)))</f>
        <v/>
      </c>
      <c r="AA198" s="16" t="str">
        <f aca="false">IF($B198="","",INDEX(IF($C198="Supporter",Nguong!$F$4:$F$8,Nguong!$D$4:$D$8),$D198))</f>
        <v/>
      </c>
      <c r="AB198" s="17" t="str">
        <f aca="false">IF($B198="","",IF($Y198="Không đạt",IF($D198=1,"Không đạt ĐK cần – SM/GĐKV xem xét","Xuống Level "&amp;($D198-1)&amp;" (không đạt ĐK cần)"),IF(AND($D198&lt;5,$Z198&lt;&gt;"-",$X198&lt;=$Z198,$N198="Có",$O198="Có"),"Lên Level "&amp;($D198+1),IF($X198&lt;=$AA198,"Giữ Level "&amp;$D198,"Xuống Level "&amp;($D198-1)&amp;" (ngoài ngưỡng giữ)"))))</f>
        <v/>
      </c>
    </row>
    <row r="199" customFormat="false" ht="15" hidden="false" customHeight="false" outlineLevel="0" collapsed="false">
      <c r="A199" s="7"/>
      <c r="B199" s="7"/>
      <c r="C199" s="8"/>
      <c r="D199" s="8"/>
      <c r="E199" s="8"/>
      <c r="F199" s="9"/>
      <c r="G199" s="9"/>
      <c r="H199" s="9"/>
      <c r="I199" s="9"/>
      <c r="J199" s="9"/>
      <c r="K199" s="9"/>
      <c r="L199" s="9"/>
      <c r="M199" s="8"/>
      <c r="N199" s="8"/>
      <c r="O199" s="8"/>
      <c r="P199" s="10" t="str">
        <f aca="false">IF($B199="","",IF(AND($C199="Supporter",$E199=4),3,$E199))</f>
        <v/>
      </c>
      <c r="Q199" s="11" t="str">
        <f aca="false">IF($B199="","",IF($G199&gt;0,$H199/$G199,0))</f>
        <v/>
      </c>
      <c r="R199" s="12" t="str">
        <f aca="false">IF($B199="","",IF($G199&gt;0,$I199/$G199,0))</f>
        <v/>
      </c>
      <c r="S199" s="13" t="str">
        <f aca="false">IF($B199="","",IF($W199&lt;=1,100,COUNTIFS($C$5:$C$204,$C199,$P$5:$P$204,$P199,$F$5:$F$204,"&lt;"&amp;$F199)/($W199-1)*100))</f>
        <v/>
      </c>
      <c r="T199" s="13" t="str">
        <f aca="false">IF($B199="","",IF($C199="Supporter","-",IF($W199&lt;=1,100,COUNTIFS($C$5:$C$204,$C199,$P$5:$P$204,$P199,$Q$5:$Q$204,"&lt;"&amp;$Q199)/($W199-1)*100)))</f>
        <v/>
      </c>
      <c r="U199" s="14" t="str">
        <f aca="false">IF($B199="","",IF($C199="Supporter",$S199,0.85*$S199+0.15*$T199))</f>
        <v/>
      </c>
      <c r="V199" s="10" t="str">
        <f aca="false">IF($B199="","",COUNTIFS($C$5:$C$204,$C199,$P$5:$P$204,$P199,$U$5:$U$204,"&gt;"&amp;$U199)+1)</f>
        <v/>
      </c>
      <c r="W199" s="10" t="str">
        <f aca="false">IF($B199="","",COUNTIFS($C$5:$C$204,$C199,$P$5:$P$204,$P199))</f>
        <v/>
      </c>
      <c r="X199" s="15" t="str">
        <f aca="false">IF($B199="","",$V199/$W199)</f>
        <v/>
      </c>
      <c r="Y199" s="10" t="str">
        <f aca="false">IF($B199="","",IF(AND($M199="Có",$J199&lt;=Nguong!$B$16,$K199&lt;=Nguong!$B$17,$L199&lt;=Nguong!$B$18,$R199&lt;=INDEX(Nguong!$B$4:$B$8,$D199)),"Đạt","Không đạt"))</f>
        <v/>
      </c>
      <c r="Z199" s="16" t="str">
        <f aca="false">IF($B199="","",IF($D199&gt;=5,"-",INDEX(IF($C199="Supporter",Nguong!$E$4:$E$8,Nguong!$C$4:$C$8),$D199+1)))</f>
        <v/>
      </c>
      <c r="AA199" s="16" t="str">
        <f aca="false">IF($B199="","",INDEX(IF($C199="Supporter",Nguong!$F$4:$F$8,Nguong!$D$4:$D$8),$D199))</f>
        <v/>
      </c>
      <c r="AB199" s="17" t="str">
        <f aca="false">IF($B199="","",IF($Y199="Không đạt",IF($D199=1,"Không đạt ĐK cần – SM/GĐKV xem xét","Xuống Level "&amp;($D199-1)&amp;" (không đạt ĐK cần)"),IF(AND($D199&lt;5,$Z199&lt;&gt;"-",$X199&lt;=$Z199,$N199="Có",$O199="Có"),"Lên Level "&amp;($D199+1),IF($X199&lt;=$AA199,"Giữ Level "&amp;$D199,"Xuống Level "&amp;($D199-1)&amp;" (ngoài ngưỡng giữ)"))))</f>
        <v/>
      </c>
    </row>
    <row r="200" customFormat="false" ht="15" hidden="false" customHeight="false" outlineLevel="0" collapsed="false">
      <c r="A200" s="7"/>
      <c r="B200" s="7"/>
      <c r="C200" s="8"/>
      <c r="D200" s="8"/>
      <c r="E200" s="8"/>
      <c r="F200" s="9"/>
      <c r="G200" s="9"/>
      <c r="H200" s="9"/>
      <c r="I200" s="9"/>
      <c r="J200" s="9"/>
      <c r="K200" s="9"/>
      <c r="L200" s="9"/>
      <c r="M200" s="8"/>
      <c r="N200" s="8"/>
      <c r="O200" s="8"/>
      <c r="P200" s="10" t="str">
        <f aca="false">IF($B200="","",IF(AND($C200="Supporter",$E200=4),3,$E200))</f>
        <v/>
      </c>
      <c r="Q200" s="11" t="str">
        <f aca="false">IF($B200="","",IF($G200&gt;0,$H200/$G200,0))</f>
        <v/>
      </c>
      <c r="R200" s="12" t="str">
        <f aca="false">IF($B200="","",IF($G200&gt;0,$I200/$G200,0))</f>
        <v/>
      </c>
      <c r="S200" s="13" t="str">
        <f aca="false">IF($B200="","",IF($W200&lt;=1,100,COUNTIFS($C$5:$C$204,$C200,$P$5:$P$204,$P200,$F$5:$F$204,"&lt;"&amp;$F200)/($W200-1)*100))</f>
        <v/>
      </c>
      <c r="T200" s="13" t="str">
        <f aca="false">IF($B200="","",IF($C200="Supporter","-",IF($W200&lt;=1,100,COUNTIFS($C$5:$C$204,$C200,$P$5:$P$204,$P200,$Q$5:$Q$204,"&lt;"&amp;$Q200)/($W200-1)*100)))</f>
        <v/>
      </c>
      <c r="U200" s="14" t="str">
        <f aca="false">IF($B200="","",IF($C200="Supporter",$S200,0.85*$S200+0.15*$T200))</f>
        <v/>
      </c>
      <c r="V200" s="10" t="str">
        <f aca="false">IF($B200="","",COUNTIFS($C$5:$C$204,$C200,$P$5:$P$204,$P200,$U$5:$U$204,"&gt;"&amp;$U200)+1)</f>
        <v/>
      </c>
      <c r="W200" s="10" t="str">
        <f aca="false">IF($B200="","",COUNTIFS($C$5:$C$204,$C200,$P$5:$P$204,$P200))</f>
        <v/>
      </c>
      <c r="X200" s="15" t="str">
        <f aca="false">IF($B200="","",$V200/$W200)</f>
        <v/>
      </c>
      <c r="Y200" s="10" t="str">
        <f aca="false">IF($B200="","",IF(AND($M200="Có",$J200&lt;=Nguong!$B$16,$K200&lt;=Nguong!$B$17,$L200&lt;=Nguong!$B$18,$R200&lt;=INDEX(Nguong!$B$4:$B$8,$D200)),"Đạt","Không đạt"))</f>
        <v/>
      </c>
      <c r="Z200" s="16" t="str">
        <f aca="false">IF($B200="","",IF($D200&gt;=5,"-",INDEX(IF($C200="Supporter",Nguong!$E$4:$E$8,Nguong!$C$4:$C$8),$D200+1)))</f>
        <v/>
      </c>
      <c r="AA200" s="16" t="str">
        <f aca="false">IF($B200="","",INDEX(IF($C200="Supporter",Nguong!$F$4:$F$8,Nguong!$D$4:$D$8),$D200))</f>
        <v/>
      </c>
      <c r="AB200" s="17" t="str">
        <f aca="false">IF($B200="","",IF($Y200="Không đạt",IF($D200=1,"Không đạt ĐK cần – SM/GĐKV xem xét","Xuống Level "&amp;($D200-1)&amp;" (không đạt ĐK cần)"),IF(AND($D200&lt;5,$Z200&lt;&gt;"-",$X200&lt;=$Z200,$N200="Có",$O200="Có"),"Lên Level "&amp;($D200+1),IF($X200&lt;=$AA200,"Giữ Level "&amp;$D200,"Xuống Level "&amp;($D200-1)&amp;" (ngoài ngưỡng giữ)"))))</f>
        <v/>
      </c>
    </row>
    <row r="201" customFormat="false" ht="15" hidden="false" customHeight="false" outlineLevel="0" collapsed="false">
      <c r="A201" s="7"/>
      <c r="B201" s="7"/>
      <c r="C201" s="8"/>
      <c r="D201" s="8"/>
      <c r="E201" s="8"/>
      <c r="F201" s="9"/>
      <c r="G201" s="9"/>
      <c r="H201" s="9"/>
      <c r="I201" s="9"/>
      <c r="J201" s="9"/>
      <c r="K201" s="9"/>
      <c r="L201" s="9"/>
      <c r="M201" s="8"/>
      <c r="N201" s="8"/>
      <c r="O201" s="8"/>
      <c r="P201" s="10" t="str">
        <f aca="false">IF($B201="","",IF(AND($C201="Supporter",$E201=4),3,$E201))</f>
        <v/>
      </c>
      <c r="Q201" s="11" t="str">
        <f aca="false">IF($B201="","",IF($G201&gt;0,$H201/$G201,0))</f>
        <v/>
      </c>
      <c r="R201" s="12" t="str">
        <f aca="false">IF($B201="","",IF($G201&gt;0,$I201/$G201,0))</f>
        <v/>
      </c>
      <c r="S201" s="13" t="str">
        <f aca="false">IF($B201="","",IF($W201&lt;=1,100,COUNTIFS($C$5:$C$204,$C201,$P$5:$P$204,$P201,$F$5:$F$204,"&lt;"&amp;$F201)/($W201-1)*100))</f>
        <v/>
      </c>
      <c r="T201" s="13" t="str">
        <f aca="false">IF($B201="","",IF($C201="Supporter","-",IF($W201&lt;=1,100,COUNTIFS($C$5:$C$204,$C201,$P$5:$P$204,$P201,$Q$5:$Q$204,"&lt;"&amp;$Q201)/($W201-1)*100)))</f>
        <v/>
      </c>
      <c r="U201" s="14" t="str">
        <f aca="false">IF($B201="","",IF($C201="Supporter",$S201,0.85*$S201+0.15*$T201))</f>
        <v/>
      </c>
      <c r="V201" s="10" t="str">
        <f aca="false">IF($B201="","",COUNTIFS($C$5:$C$204,$C201,$P$5:$P$204,$P201,$U$5:$U$204,"&gt;"&amp;$U201)+1)</f>
        <v/>
      </c>
      <c r="W201" s="10" t="str">
        <f aca="false">IF($B201="","",COUNTIFS($C$5:$C$204,$C201,$P$5:$P$204,$P201))</f>
        <v/>
      </c>
      <c r="X201" s="15" t="str">
        <f aca="false">IF($B201="","",$V201/$W201)</f>
        <v/>
      </c>
      <c r="Y201" s="10" t="str">
        <f aca="false">IF($B201="","",IF(AND($M201="Có",$J201&lt;=Nguong!$B$16,$K201&lt;=Nguong!$B$17,$L201&lt;=Nguong!$B$18,$R201&lt;=INDEX(Nguong!$B$4:$B$8,$D201)),"Đạt","Không đạt"))</f>
        <v/>
      </c>
      <c r="Z201" s="16" t="str">
        <f aca="false">IF($B201="","",IF($D201&gt;=5,"-",INDEX(IF($C201="Supporter",Nguong!$E$4:$E$8,Nguong!$C$4:$C$8),$D201+1)))</f>
        <v/>
      </c>
      <c r="AA201" s="16" t="str">
        <f aca="false">IF($B201="","",INDEX(IF($C201="Supporter",Nguong!$F$4:$F$8,Nguong!$D$4:$D$8),$D201))</f>
        <v/>
      </c>
      <c r="AB201" s="17" t="str">
        <f aca="false">IF($B201="","",IF($Y201="Không đạt",IF($D201=1,"Không đạt ĐK cần – SM/GĐKV xem xét","Xuống Level "&amp;($D201-1)&amp;" (không đạt ĐK cần)"),IF(AND($D201&lt;5,$Z201&lt;&gt;"-",$X201&lt;=$Z201,$N201="Có",$O201="Có"),"Lên Level "&amp;($D201+1),IF($X201&lt;=$AA201,"Giữ Level "&amp;$D201,"Xuống Level "&amp;($D201-1)&amp;" (ngoài ngưỡng giữ)"))))</f>
        <v/>
      </c>
    </row>
    <row r="202" customFormat="false" ht="15" hidden="false" customHeight="false" outlineLevel="0" collapsed="false">
      <c r="A202" s="7"/>
      <c r="B202" s="7"/>
      <c r="C202" s="8"/>
      <c r="D202" s="8"/>
      <c r="E202" s="8"/>
      <c r="F202" s="9"/>
      <c r="G202" s="9"/>
      <c r="H202" s="9"/>
      <c r="I202" s="9"/>
      <c r="J202" s="9"/>
      <c r="K202" s="9"/>
      <c r="L202" s="9"/>
      <c r="M202" s="8"/>
      <c r="N202" s="8"/>
      <c r="O202" s="8"/>
      <c r="P202" s="10" t="str">
        <f aca="false">IF($B202="","",IF(AND($C202="Supporter",$E202=4),3,$E202))</f>
        <v/>
      </c>
      <c r="Q202" s="11" t="str">
        <f aca="false">IF($B202="","",IF($G202&gt;0,$H202/$G202,0))</f>
        <v/>
      </c>
      <c r="R202" s="12" t="str">
        <f aca="false">IF($B202="","",IF($G202&gt;0,$I202/$G202,0))</f>
        <v/>
      </c>
      <c r="S202" s="13" t="str">
        <f aca="false">IF($B202="","",IF($W202&lt;=1,100,COUNTIFS($C$5:$C$204,$C202,$P$5:$P$204,$P202,$F$5:$F$204,"&lt;"&amp;$F202)/($W202-1)*100))</f>
        <v/>
      </c>
      <c r="T202" s="13" t="str">
        <f aca="false">IF($B202="","",IF($C202="Supporter","-",IF($W202&lt;=1,100,COUNTIFS($C$5:$C$204,$C202,$P$5:$P$204,$P202,$Q$5:$Q$204,"&lt;"&amp;$Q202)/($W202-1)*100)))</f>
        <v/>
      </c>
      <c r="U202" s="14" t="str">
        <f aca="false">IF($B202="","",IF($C202="Supporter",$S202,0.85*$S202+0.15*$T202))</f>
        <v/>
      </c>
      <c r="V202" s="10" t="str">
        <f aca="false">IF($B202="","",COUNTIFS($C$5:$C$204,$C202,$P$5:$P$204,$P202,$U$5:$U$204,"&gt;"&amp;$U202)+1)</f>
        <v/>
      </c>
      <c r="W202" s="10" t="str">
        <f aca="false">IF($B202="","",COUNTIFS($C$5:$C$204,$C202,$P$5:$P$204,$P202))</f>
        <v/>
      </c>
      <c r="X202" s="15" t="str">
        <f aca="false">IF($B202="","",$V202/$W202)</f>
        <v/>
      </c>
      <c r="Y202" s="10" t="str">
        <f aca="false">IF($B202="","",IF(AND($M202="Có",$J202&lt;=Nguong!$B$16,$K202&lt;=Nguong!$B$17,$L202&lt;=Nguong!$B$18,$R202&lt;=INDEX(Nguong!$B$4:$B$8,$D202)),"Đạt","Không đạt"))</f>
        <v/>
      </c>
      <c r="Z202" s="16" t="str">
        <f aca="false">IF($B202="","",IF($D202&gt;=5,"-",INDEX(IF($C202="Supporter",Nguong!$E$4:$E$8,Nguong!$C$4:$C$8),$D202+1)))</f>
        <v/>
      </c>
      <c r="AA202" s="16" t="str">
        <f aca="false">IF($B202="","",INDEX(IF($C202="Supporter",Nguong!$F$4:$F$8,Nguong!$D$4:$D$8),$D202))</f>
        <v/>
      </c>
      <c r="AB202" s="17" t="str">
        <f aca="false">IF($B202="","",IF($Y202="Không đạt",IF($D202=1,"Không đạt ĐK cần – SM/GĐKV xem xét","Xuống Level "&amp;($D202-1)&amp;" (không đạt ĐK cần)"),IF(AND($D202&lt;5,$Z202&lt;&gt;"-",$X202&lt;=$Z202,$N202="Có",$O202="Có"),"Lên Level "&amp;($D202+1),IF($X202&lt;=$AA202,"Giữ Level "&amp;$D202,"Xuống Level "&amp;($D202-1)&amp;" (ngoài ngưỡng giữ)"))))</f>
        <v/>
      </c>
    </row>
    <row r="203" customFormat="false" ht="15" hidden="false" customHeight="false" outlineLevel="0" collapsed="false">
      <c r="A203" s="7"/>
      <c r="B203" s="7"/>
      <c r="C203" s="8"/>
      <c r="D203" s="8"/>
      <c r="E203" s="8"/>
      <c r="F203" s="9"/>
      <c r="G203" s="9"/>
      <c r="H203" s="9"/>
      <c r="I203" s="9"/>
      <c r="J203" s="9"/>
      <c r="K203" s="9"/>
      <c r="L203" s="9"/>
      <c r="M203" s="8"/>
      <c r="N203" s="8"/>
      <c r="O203" s="8"/>
      <c r="P203" s="10" t="str">
        <f aca="false">IF($B203="","",IF(AND($C203="Supporter",$E203=4),3,$E203))</f>
        <v/>
      </c>
      <c r="Q203" s="11" t="str">
        <f aca="false">IF($B203="","",IF($G203&gt;0,$H203/$G203,0))</f>
        <v/>
      </c>
      <c r="R203" s="12" t="str">
        <f aca="false">IF($B203="","",IF($G203&gt;0,$I203/$G203,0))</f>
        <v/>
      </c>
      <c r="S203" s="13" t="str">
        <f aca="false">IF($B203="","",IF($W203&lt;=1,100,COUNTIFS($C$5:$C$204,$C203,$P$5:$P$204,$P203,$F$5:$F$204,"&lt;"&amp;$F203)/($W203-1)*100))</f>
        <v/>
      </c>
      <c r="T203" s="13" t="str">
        <f aca="false">IF($B203="","",IF($C203="Supporter","-",IF($W203&lt;=1,100,COUNTIFS($C$5:$C$204,$C203,$P$5:$P$204,$P203,$Q$5:$Q$204,"&lt;"&amp;$Q203)/($W203-1)*100)))</f>
        <v/>
      </c>
      <c r="U203" s="14" t="str">
        <f aca="false">IF($B203="","",IF($C203="Supporter",$S203,0.85*$S203+0.15*$T203))</f>
        <v/>
      </c>
      <c r="V203" s="10" t="str">
        <f aca="false">IF($B203="","",COUNTIFS($C$5:$C$204,$C203,$P$5:$P$204,$P203,$U$5:$U$204,"&gt;"&amp;$U203)+1)</f>
        <v/>
      </c>
      <c r="W203" s="10" t="str">
        <f aca="false">IF($B203="","",COUNTIFS($C$5:$C$204,$C203,$P$5:$P$204,$P203))</f>
        <v/>
      </c>
      <c r="X203" s="15" t="str">
        <f aca="false">IF($B203="","",$V203/$W203)</f>
        <v/>
      </c>
      <c r="Y203" s="10" t="str">
        <f aca="false">IF($B203="","",IF(AND($M203="Có",$J203&lt;=Nguong!$B$16,$K203&lt;=Nguong!$B$17,$L203&lt;=Nguong!$B$18,$R203&lt;=INDEX(Nguong!$B$4:$B$8,$D203)),"Đạt","Không đạt"))</f>
        <v/>
      </c>
      <c r="Z203" s="16" t="str">
        <f aca="false">IF($B203="","",IF($D203&gt;=5,"-",INDEX(IF($C203="Supporter",Nguong!$E$4:$E$8,Nguong!$C$4:$C$8),$D203+1)))</f>
        <v/>
      </c>
      <c r="AA203" s="16" t="str">
        <f aca="false">IF($B203="","",INDEX(IF($C203="Supporter",Nguong!$F$4:$F$8,Nguong!$D$4:$D$8),$D203))</f>
        <v/>
      </c>
      <c r="AB203" s="17" t="str">
        <f aca="false">IF($B203="","",IF($Y203="Không đạt",IF($D203=1,"Không đạt ĐK cần – SM/GĐKV xem xét","Xuống Level "&amp;($D203-1)&amp;" (không đạt ĐK cần)"),IF(AND($D203&lt;5,$Z203&lt;&gt;"-",$X203&lt;=$Z203,$N203="Có",$O203="Có"),"Lên Level "&amp;($D203+1),IF($X203&lt;=$AA203,"Giữ Level "&amp;$D203,"Xuống Level "&amp;($D203-1)&amp;" (ngoài ngưỡng giữ)"))))</f>
        <v/>
      </c>
    </row>
    <row r="204" customFormat="false" ht="15" hidden="false" customHeight="false" outlineLevel="0" collapsed="false">
      <c r="A204" s="7"/>
      <c r="B204" s="7"/>
      <c r="C204" s="8"/>
      <c r="D204" s="8"/>
      <c r="E204" s="8"/>
      <c r="F204" s="9"/>
      <c r="G204" s="9"/>
      <c r="H204" s="9"/>
      <c r="I204" s="9"/>
      <c r="J204" s="9"/>
      <c r="K204" s="9"/>
      <c r="L204" s="9"/>
      <c r="M204" s="8"/>
      <c r="N204" s="8"/>
      <c r="O204" s="8"/>
      <c r="P204" s="10" t="str">
        <f aca="false">IF($B204="","",IF(AND($C204="Supporter",$E204=4),3,$E204))</f>
        <v/>
      </c>
      <c r="Q204" s="11" t="str">
        <f aca="false">IF($B204="","",IF($G204&gt;0,$H204/$G204,0))</f>
        <v/>
      </c>
      <c r="R204" s="12" t="str">
        <f aca="false">IF($B204="","",IF($G204&gt;0,$I204/$G204,0))</f>
        <v/>
      </c>
      <c r="S204" s="13" t="str">
        <f aca="false">IF($B204="","",IF($W204&lt;=1,100,COUNTIFS($C$5:$C$204,$C204,$P$5:$P$204,$P204,$F$5:$F$204,"&lt;"&amp;$F204)/($W204-1)*100))</f>
        <v/>
      </c>
      <c r="T204" s="13" t="str">
        <f aca="false">IF($B204="","",IF($C204="Supporter","-",IF($W204&lt;=1,100,COUNTIFS($C$5:$C$204,$C204,$P$5:$P$204,$P204,$Q$5:$Q$204,"&lt;"&amp;$Q204)/($W204-1)*100)))</f>
        <v/>
      </c>
      <c r="U204" s="14" t="str">
        <f aca="false">IF($B204="","",IF($C204="Supporter",$S204,0.85*$S204+0.15*$T204))</f>
        <v/>
      </c>
      <c r="V204" s="10" t="str">
        <f aca="false">IF($B204="","",COUNTIFS($C$5:$C$204,$C204,$P$5:$P$204,$P204,$U$5:$U$204,"&gt;"&amp;$U204)+1)</f>
        <v/>
      </c>
      <c r="W204" s="10" t="str">
        <f aca="false">IF($B204="","",COUNTIFS($C$5:$C$204,$C204,$P$5:$P$204,$P204))</f>
        <v/>
      </c>
      <c r="X204" s="15" t="str">
        <f aca="false">IF($B204="","",$V204/$W204)</f>
        <v/>
      </c>
      <c r="Y204" s="10" t="str">
        <f aca="false">IF($B204="","",IF(AND($M204="Có",$J204&lt;=Nguong!$B$16,$K204&lt;=Nguong!$B$17,$L204&lt;=Nguong!$B$18,$R204&lt;=INDEX(Nguong!$B$4:$B$8,$D204)),"Đạt","Không đạt"))</f>
        <v/>
      </c>
      <c r="Z204" s="16" t="str">
        <f aca="false">IF($B204="","",IF($D204&gt;=5,"-",INDEX(IF($C204="Supporter",Nguong!$E$4:$E$8,Nguong!$C$4:$C$8),$D204+1)))</f>
        <v/>
      </c>
      <c r="AA204" s="16" t="str">
        <f aca="false">IF($B204="","",INDEX(IF($C204="Supporter",Nguong!$F$4:$F$8,Nguong!$D$4:$D$8),$D204))</f>
        <v/>
      </c>
      <c r="AB204" s="17" t="str">
        <f aca="false">IF($B204="","",IF($Y204="Không đạt",IF($D204=1,"Không đạt ĐK cần – SM/GĐKV xem xét","Xuống Level "&amp;($D204-1)&amp;" (không đạt ĐK cần)"),IF(AND($D204&lt;5,$Z204&lt;&gt;"-",$X204&lt;=$Z204,$N204="Có",$O204="Có"),"Lên Level "&amp;($D204+1),IF($X204&lt;=$AA204,"Giữ Level "&amp;$D204,"Xuống Level "&amp;($D204-1)&amp;" (ngoài ngưỡng giữ)"))))</f>
        <v/>
      </c>
    </row>
  </sheetData>
  <mergeCells count="2">
    <mergeCell ref="A3:O3"/>
    <mergeCell ref="P3:AA3"/>
  </mergeCells>
  <conditionalFormatting sqref="AB5:AB204">
    <cfRule type="expression" priority="2" aboveAverage="0" equalAverage="0" bottom="0" percent="0" rank="0" text="" dxfId="0">
      <formula>LEFT($AB5,3)="Lên"</formula>
    </cfRule>
    <cfRule type="expression" priority="3" aboveAverage="0" equalAverage="0" bottom="0" percent="0" rank="0" text="" dxfId="1">
      <formula>LEFT($AB5,5)="Xuống"</formula>
    </cfRule>
  </conditionalFormatting>
  <dataValidations count="4">
    <dataValidation allowBlank="true" errorStyle="stop" operator="between" showDropDown="false" showErrorMessage="false" showInputMessage="false" sqref="C5:C204" type="list">
      <formula1>"Stylist,Skinner,Supporter"</formula1>
      <formula2>0</formula2>
    </dataValidation>
    <dataValidation allowBlank="true" errorStyle="stop" operator="between" showDropDown="false" showErrorMessage="false" showInputMessage="false" sqref="D5:D204" type="list">
      <formula1>"1,2,3,4,5"</formula1>
      <formula2>0</formula2>
    </dataValidation>
    <dataValidation allowBlank="true" errorStyle="stop" operator="between" showDropDown="false" showErrorMessage="false" showInputMessage="false" sqref="E5:E204" type="list">
      <formula1>"1,2,3,4"</formula1>
      <formula2>0</formula2>
    </dataValidation>
    <dataValidation allowBlank="true" errorStyle="stop" operator="between" showDropDown="false" showErrorMessage="false" showInputMessage="false" sqref="M5:O204" type="list">
      <formula1>"Có,Không"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6" min="2" style="0" width="18"/>
  </cols>
  <sheetData>
    <row r="1" customFormat="false" ht="15" hidden="false" customHeight="false" outlineLevel="0" collapsed="false">
      <c r="A1" s="18" t="s">
        <v>47</v>
      </c>
    </row>
    <row r="3" customFormat="false" ht="31.5" hidden="false" customHeight="true" outlineLevel="0" collapsed="false">
      <c r="A3" s="6" t="s">
        <v>48</v>
      </c>
      <c r="B3" s="6" t="s">
        <v>49</v>
      </c>
      <c r="C3" s="6" t="s">
        <v>50</v>
      </c>
      <c r="D3" s="6" t="s">
        <v>51</v>
      </c>
      <c r="E3" s="6" t="s">
        <v>52</v>
      </c>
      <c r="F3" s="6" t="s">
        <v>53</v>
      </c>
    </row>
    <row r="4" customFormat="false" ht="15" hidden="false" customHeight="false" outlineLevel="0" collapsed="false">
      <c r="A4" s="19" t="n">
        <v>1</v>
      </c>
      <c r="B4" s="20" t="n">
        <v>0.003</v>
      </c>
      <c r="C4" s="21"/>
      <c r="D4" s="21" t="n">
        <v>1</v>
      </c>
      <c r="E4" s="21"/>
      <c r="F4" s="21" t="n">
        <v>1</v>
      </c>
    </row>
    <row r="5" customFormat="false" ht="15" hidden="false" customHeight="false" outlineLevel="0" collapsed="false">
      <c r="A5" s="19" t="n">
        <v>2</v>
      </c>
      <c r="B5" s="20" t="n">
        <v>0.0027</v>
      </c>
      <c r="C5" s="21" t="n">
        <v>0.35</v>
      </c>
      <c r="D5" s="21" t="n">
        <v>0.5</v>
      </c>
      <c r="E5" s="21" t="n">
        <v>0.5</v>
      </c>
      <c r="F5" s="21" t="n">
        <v>0.8</v>
      </c>
    </row>
    <row r="6" customFormat="false" ht="15" hidden="false" customHeight="false" outlineLevel="0" collapsed="false">
      <c r="A6" s="19" t="n">
        <v>3</v>
      </c>
      <c r="B6" s="20" t="n">
        <v>0.0024</v>
      </c>
      <c r="C6" s="21" t="n">
        <v>0.15</v>
      </c>
      <c r="D6" s="21" t="n">
        <v>0.25</v>
      </c>
      <c r="E6" s="21" t="n">
        <v>0.2</v>
      </c>
      <c r="F6" s="21" t="n">
        <v>0.3</v>
      </c>
    </row>
    <row r="7" customFormat="false" ht="15" hidden="false" customHeight="false" outlineLevel="0" collapsed="false">
      <c r="A7" s="19" t="n">
        <v>4</v>
      </c>
      <c r="B7" s="20" t="n">
        <v>0.0021</v>
      </c>
      <c r="C7" s="21" t="n">
        <v>0.05</v>
      </c>
      <c r="D7" s="21" t="n">
        <v>0.1</v>
      </c>
      <c r="E7" s="21" t="n">
        <v>0.1</v>
      </c>
      <c r="F7" s="21" t="n">
        <v>0.15</v>
      </c>
    </row>
    <row r="8" customFormat="false" ht="15" hidden="false" customHeight="false" outlineLevel="0" collapsed="false">
      <c r="A8" s="19" t="n">
        <v>5</v>
      </c>
      <c r="B8" s="20" t="n">
        <v>0.0018</v>
      </c>
      <c r="C8" s="21" t="n">
        <v>0.02</v>
      </c>
      <c r="D8" s="21" t="n">
        <v>0.05</v>
      </c>
      <c r="E8" s="21" t="n">
        <v>0.05</v>
      </c>
      <c r="F8" s="21" t="n">
        <v>0.1</v>
      </c>
    </row>
    <row r="10" customFormat="false" ht="15" hidden="false" customHeight="false" outlineLevel="0" collapsed="false">
      <c r="A10" s="22" t="s">
        <v>54</v>
      </c>
    </row>
    <row r="11" customFormat="false" ht="15" hidden="false" customHeight="false" outlineLevel="0" collapsed="false">
      <c r="A11" s="23" t="s">
        <v>55</v>
      </c>
    </row>
    <row r="12" customFormat="false" ht="15" hidden="false" customHeight="false" outlineLevel="0" collapsed="false">
      <c r="A12" s="23" t="s">
        <v>56</v>
      </c>
    </row>
    <row r="13" customFormat="false" ht="15" hidden="false" customHeight="false" outlineLevel="0" collapsed="false">
      <c r="A13" s="23" t="s">
        <v>57</v>
      </c>
    </row>
    <row r="15" customFormat="false" ht="15" hidden="false" customHeight="false" outlineLevel="0" collapsed="false">
      <c r="A15" s="22" t="s">
        <v>58</v>
      </c>
    </row>
    <row r="16" customFormat="false" ht="15" hidden="false" customHeight="false" outlineLevel="0" collapsed="false">
      <c r="A16" s="23" t="s">
        <v>59</v>
      </c>
      <c r="B16" s="24" t="n">
        <v>0</v>
      </c>
    </row>
    <row r="17" customFormat="false" ht="15" hidden="false" customHeight="false" outlineLevel="0" collapsed="false">
      <c r="A17" s="23" t="s">
        <v>60</v>
      </c>
      <c r="B17" s="24" t="n">
        <v>1</v>
      </c>
    </row>
    <row r="18" customFormat="false" ht="15" hidden="false" customHeight="false" outlineLevel="0" collapsed="false">
      <c r="A18" s="23" t="s">
        <v>61</v>
      </c>
      <c r="B18" s="24" t="n">
        <v>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0"/>
  </cols>
  <sheetData>
    <row r="1" customFormat="false" ht="15" hidden="false" customHeight="false" outlineLevel="0" collapsed="false">
      <c r="A1" s="25" t="s">
        <v>62</v>
      </c>
    </row>
    <row r="2" customFormat="false" ht="15" hidden="false" customHeight="false" outlineLevel="0" collapsed="false">
      <c r="A2" s="26" t="s">
        <v>63</v>
      </c>
    </row>
    <row r="3" customFormat="false" ht="15" hidden="false" customHeight="false" outlineLevel="0" collapsed="false">
      <c r="A3" s="26" t="s">
        <v>64</v>
      </c>
    </row>
    <row r="4" customFormat="false" ht="15" hidden="false" customHeight="false" outlineLevel="0" collapsed="false">
      <c r="A4" s="26" t="s">
        <v>65</v>
      </c>
    </row>
    <row r="5" customFormat="false" ht="15" hidden="false" customHeight="false" outlineLevel="0" collapsed="false">
      <c r="A5" s="26"/>
    </row>
    <row r="6" customFormat="false" ht="15" hidden="false" customHeight="false" outlineLevel="0" collapsed="false">
      <c r="A6" s="25" t="s">
        <v>66</v>
      </c>
    </row>
    <row r="7" customFormat="false" ht="15" hidden="false" customHeight="false" outlineLevel="0" collapsed="false">
      <c r="A7" s="26" t="s">
        <v>67</v>
      </c>
    </row>
    <row r="8" customFormat="false" ht="15" hidden="false" customHeight="false" outlineLevel="0" collapsed="false">
      <c r="A8" s="26" t="s">
        <v>68</v>
      </c>
    </row>
    <row r="9" customFormat="false" ht="15" hidden="false" customHeight="false" outlineLevel="0" collapsed="false">
      <c r="A9" s="26" t="s">
        <v>69</v>
      </c>
    </row>
    <row r="10" customFormat="false" ht="15" hidden="false" customHeight="false" outlineLevel="0" collapsed="false">
      <c r="A10" s="26" t="s">
        <v>70</v>
      </c>
    </row>
    <row r="11" customFormat="false" ht="15" hidden="false" customHeight="false" outlineLevel="0" collapsed="false">
      <c r="A11" s="26" t="s">
        <v>71</v>
      </c>
    </row>
    <row r="12" customFormat="false" ht="15" hidden="false" customHeight="false" outlineLevel="0" collapsed="false">
      <c r="A12" s="26" t="s">
        <v>72</v>
      </c>
    </row>
    <row r="13" customFormat="false" ht="15" hidden="false" customHeight="false" outlineLevel="0" collapsed="false">
      <c r="A13" s="26" t="s">
        <v>73</v>
      </c>
    </row>
    <row r="14" customFormat="false" ht="23.85" hidden="false" customHeight="false" outlineLevel="0" collapsed="false">
      <c r="A14" s="26" t="s">
        <v>74</v>
      </c>
    </row>
    <row r="15" customFormat="false" ht="15" hidden="false" customHeight="false" outlineLevel="0" collapsed="false">
      <c r="A15" s="26"/>
    </row>
    <row r="16" customFormat="false" ht="15" hidden="false" customHeight="false" outlineLevel="0" collapsed="false">
      <c r="A16" s="25" t="s">
        <v>75</v>
      </c>
    </row>
    <row r="17" customFormat="false" ht="23.85" hidden="false" customHeight="false" outlineLevel="0" collapsed="false">
      <c r="A17" s="26" t="s">
        <v>76</v>
      </c>
    </row>
    <row r="18" customFormat="false" ht="15" hidden="false" customHeight="false" outlineLevel="0" collapsed="false">
      <c r="A18" s="26" t="s">
        <v>77</v>
      </c>
    </row>
    <row r="19" customFormat="false" ht="15" hidden="false" customHeight="false" outlineLevel="0" collapsed="false">
      <c r="A19" s="26" t="s">
        <v>78</v>
      </c>
    </row>
    <row r="20" customFormat="false" ht="15" hidden="false" customHeight="false" outlineLevel="0" collapsed="false">
      <c r="A20" s="26" t="s">
        <v>79</v>
      </c>
    </row>
    <row r="21" customFormat="false" ht="15" hidden="false" customHeight="false" outlineLevel="0" collapsed="false">
      <c r="A21" s="26" t="s">
        <v>80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2026-10-13T04:01:31Z</dcterms:created>
  <dc:creator>openpyxl</dc:creator>
  <dc:description/>
  <dc:language>en-US</dc:language>
  <cp:lastModifiedBy/>
  <dcterms:modified xsi:type="dcterms:W3CDTF">2026-10-13T04:01:31Z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